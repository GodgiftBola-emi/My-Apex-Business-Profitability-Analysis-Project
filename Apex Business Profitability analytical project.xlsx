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slicers/slicer1.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28.xml" ContentType="application/vnd.openxmlformats-officedocument.drawingml.chart+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codeName="ThisWorkbook" hidePivotFieldList="1"/>
  <mc:AlternateContent xmlns:mc="http://schemas.openxmlformats.org/markup-compatibility/2006">
    <mc:Choice Requires="x15">
      <x15ac:absPath xmlns:x15ac="http://schemas.microsoft.com/office/spreadsheetml/2010/11/ac" url="C:\Users\PC\Documents\"/>
    </mc:Choice>
  </mc:AlternateContent>
  <xr:revisionPtr revIDLastSave="0" documentId="13_ncr:1_{D88E1A29-EB8A-42D5-8D79-89AF46A0025D}" xr6:coauthVersionLast="44" xr6:coauthVersionMax="47" xr10:uidLastSave="{00000000-0000-0000-0000-000000000000}"/>
  <bookViews>
    <workbookView xWindow="-110" yWindow="-110" windowWidth="19420" windowHeight="10300" firstSheet="13" activeTab="16" xr2:uid="{00000000-000D-0000-FFFF-FFFF00000000}"/>
  </bookViews>
  <sheets>
    <sheet name="Task" sheetId="15" r:id="rId1"/>
    <sheet name="Data" sheetId="17" r:id="rId2"/>
    <sheet name="Pre-Analysis board" sheetId="18" r:id="rId3"/>
    <sheet name="Sales Trend report" sheetId="49" r:id="rId4"/>
    <sheet name="Top 10 Customer by revenue" sheetId="46" r:id="rId5"/>
    <sheet name="Sales by Rep" sheetId="26" r:id="rId6"/>
    <sheet name="Sales by Region" sheetId="27" r:id="rId7"/>
    <sheet name="Sales by category" sheetId="28" r:id="rId8"/>
    <sheet name="Top 5 cities by revenue" sheetId="29" r:id="rId9"/>
    <sheet name="State Performance" sheetId="32" r:id="rId10"/>
    <sheet name="Top 6 ship cities by revenue" sheetId="30" r:id="rId11"/>
    <sheet name="Transaction by amount" sheetId="35" r:id="rId12"/>
    <sheet name="In Analysis Board" sheetId="23" r:id="rId13"/>
    <sheet name="Post Analysis board" sheetId="50" r:id="rId14"/>
    <sheet name="Dashboard sketch" sheetId="44" r:id="rId15"/>
    <sheet name="Dashboard Interface " sheetId="52" r:id="rId16"/>
    <sheet name="Final Dasboard Screenshot" sheetId="53" r:id="rId17"/>
  </sheets>
  <definedNames>
    <definedName name="_xlnm._FilterDatabase" localSheetId="1" hidden="1">Data!$A$1:$Z$370</definedName>
    <definedName name="_xlchart.v1.11" hidden="1">'Top 6 ship cities by revenue'!$D$4:$D$9</definedName>
    <definedName name="_xlchart.v1.12" hidden="1">'Top 6 ship cities by revenue'!$E$3</definedName>
    <definedName name="_xlchart.v1.13" hidden="1">'Top 6 ship cities by revenue'!$E$4:$E$9</definedName>
    <definedName name="_xlchart.v1.4" hidden="1">'Top 6 ship cities by revenue'!$D$4:$D$9</definedName>
    <definedName name="_xlchart.v1.5" hidden="1">'Top 6 ship cities by revenue'!$E$3</definedName>
    <definedName name="_xlchart.v1.6" hidden="1">'Top 6 ship cities by revenue'!$E$4:$E$9</definedName>
    <definedName name="_xlchart.v5.0" hidden="1">'State Performance'!$D$4</definedName>
    <definedName name="_xlchart.v5.1" hidden="1">'State Performance'!$D$5:$D$16</definedName>
    <definedName name="_xlchart.v5.10" hidden="1">'State Performance'!$E$5:$E$16</definedName>
    <definedName name="_xlchart.v5.2" hidden="1">'State Performance'!$E$4</definedName>
    <definedName name="_xlchart.v5.3" hidden="1">'State Performance'!$E$5:$E$16</definedName>
    <definedName name="_xlchart.v5.7" hidden="1">'State Performance'!$D$4</definedName>
    <definedName name="_xlchart.v5.8" hidden="1">'State Performance'!$D$5:$D$16</definedName>
    <definedName name="_xlchart.v5.9" hidden="1">'State Performance'!$E$4</definedName>
    <definedName name="Slicer_Product_Name">#N/A</definedName>
    <definedName name="Slicer_Salesperson">#N/A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<sst xmlns="http://schemas.openxmlformats.org/spreadsheetml/2006/main" count="5924" uniqueCount="189">
  <si>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</si>
  <si>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</si>
  <si>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</si>
  <si>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</si>
  <si>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</si>
  <si>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</si>
  <si>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</si>
  <si>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</si>
  <si>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</si>
  <si>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</si>
  <si>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</si>
  <si>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</si>
  <si>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</si>
  <si>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</si>
  <si>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</si>
  <si>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</si>
  <si>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</si>
  <si>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</si>
  <si>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</si>
  <si>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</si>
  <si>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</si>
  <si>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</si>
  <si>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</si>
  <si>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</si>
  <si>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</si>
  <si>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</si>
  <si>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</si>
  <si>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</si>
  <si>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</si>
  <si>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</si>
  <si>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</si>
  <si>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</si>
  <si>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</si>
  <si>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</si>
  <si>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</si>
  <si>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</si>
  <si>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</si>
  <si>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</si>
  <si>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</si>
  <si>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</si>
  <si>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</si>
  <si>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</si>
  <si>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</si>
  <si>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</si>
  <si>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</si>
  <si>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</si>
  <si>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</si>
  <si>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</si>
  <si>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</si>
  <si>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</si>
  <si>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</si>
  <si>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</si>
  <si>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</si>
  <si>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</si>
  <si>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</si>
  <si>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</si>
  <si>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</si>
  <si>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</si>
  <si>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</si>
  <si>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</si>
  <si>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</si>
  <si>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</si>
  <si>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</si>
  <si>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</si>
  <si>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</si>
  <si>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</si>
  <si>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</si>
  <si>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</si>
  <si>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</si>
  <si>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</si>
  <si>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</si>
  <si>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</si>
  <si>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</si>
  <si>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</si>
  <si>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</si>
  <si>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</si>
  <si>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</si>
  <si>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</si>
  <si>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</si>
  <si>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</si>
  <si>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</si>
  <si>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</si>
  <si>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</si>
  <si>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</si>
  <si>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</si>
  <si>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</si>
  <si>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</si>
  <si>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</si>
  <si>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</si>
  <si>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</si>
  <si>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</si>
  <si>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</si>
  <si>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</si>
  <si>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</si>
  <si>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</si>
  <si>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</si>
  <si>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</si>
  <si>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</si>
  <si>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</si>
  <si>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</si>
  <si>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</si>
  <si>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</si>
  <si>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</si>
  <si>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</si>
  <si>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</si>
  <si>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</si>
  <si>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</si>
  <si>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</si>
  <si>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</si>
  <si>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</si>
  <si>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</si>
  <si>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</si>
  <si>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</si>
  <si>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</si>
  <si>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</si>
  <si>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</si>
  <si>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</si>
  <si>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</si>
  <si>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</si>
  <si>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</si>
  <si>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</si>
  <si>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</si>
  <si>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</si>
  <si>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</si>
  <si>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</si>
  <si>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</si>
  <si>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</si>
  <si>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</si>
  <si>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</si>
  <si>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</si>
  <si>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</si>
  <si>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</si>
  <si>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</si>
  <si>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</si>
  <si>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</si>
  <si>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</si>
  <si>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</si>
  <si>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</si>
  <si>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</si>
  <si>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</si>
  <si>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</si>
  <si>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</si>
  <si>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</si>
  <si>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</si>
  <si>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</si>
  <si>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</si>
  <si>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</si>
  <si>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</si>
  <si>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</si>
  <si>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</si>
  <si>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</si>
  <si>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</si>
  <si>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</si>
  <si>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</si>
  <si>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</si>
  <si>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</si>
  <si>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</si>
  <si>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</si>
  <si>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</si>
  <si>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</si>
  <si>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</si>
  <si>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</si>
  <si>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</si>
  <si>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</si>
  <si>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</si>
  <si>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</si>
  <si>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Dec</t>
  </si>
  <si>
    <t>Nov</t>
  </si>
  <si>
    <t>Oct</t>
  </si>
  <si>
    <t>Sep</t>
  </si>
  <si>
    <t>Aug</t>
  </si>
  <si>
    <t>Jul</t>
  </si>
  <si>
    <t>Jun</t>
  </si>
  <si>
    <t>May</t>
  </si>
  <si>
    <t>Apr</t>
  </si>
  <si>
    <t>Mar</t>
  </si>
  <si>
    <t>Feb</t>
  </si>
  <si>
    <t>Jan</t>
  </si>
  <si>
    <t>Cities</t>
  </si>
  <si>
    <t>State Performance</t>
  </si>
  <si>
    <t>Count of Revenue</t>
  </si>
  <si>
    <t>0-1000</t>
  </si>
  <si>
    <t>1000-2000</t>
  </si>
  <si>
    <t>2000-3000</t>
  </si>
  <si>
    <t>3000-4000</t>
  </si>
  <si>
    <t>4000-5000</t>
  </si>
  <si>
    <t>6000-7000</t>
  </si>
  <si>
    <t>7000-8000</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</si>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</sst>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mm/dd/yy;@"/>
    <numFmt numFmtId="165" formatCode="&quot;$&quot;#,##0.00"/>
    <numFmt numFmtId="166" formatCode="&quot;$&quot;#,##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4" fillId="3" borderId="0" xfId="0" applyFont="1" applyFill="1"/>
    <xf numFmtId="0" fontId="4" fillId="4" borderId="1" xfId="0" applyFont="1" applyFill="1" applyBorder="1"/>
    <xf numFmtId="0" fontId="3" fillId="0" borderId="0" xfId="0" applyFont="1" applyAlignment="1">
      <alignment vertical="center" wrapText="1"/>
    </xf>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0" fontId="2" fillId="5" borderId="2" xfId="0" applyFont="1" applyFill="1" applyBorder="1"/>
    <xf numFmtId="166" fontId="0" fillId="0" borderId="0" xfId="0" applyNumberFormat="1" applyAlignment="1">
      <alignment horizontal="left"/>
    </xf>
    <xf numFmtId="166" fontId="0" fillId="0" borderId="0" xfId="0" pivotButton="1" applyNumberFormat="1"/>
    <xf numFmtId="166" fontId="2" fillId="5" borderId="2" xfId="0" applyNumberFormat="1" applyFont="1" applyFill="1" applyBorder="1"/>
    <xf numFmtId="1" fontId="0" fillId="0" borderId="0" xfId="0" applyNumberFormat="1"/>
    <xf numFmtId="165" fontId="0" fillId="0" borderId="0" xfId="0" applyNumberFormat="1" applyAlignment="1">
      <alignment horizontal="left"/>
    </xf>
  </cellXfs>
  <cellStyles count="2">
    <cellStyle name="Currency" xfId="1" builtinId="4"/>
    <cellStyle name="Normal" xfId="0" builtinId="0"/>
  </cellStyles>
  <dxfs count="33">
    <dxf>
      <numFmt numFmtId="1"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font>
        <sz val="20"/>
        <color theme="1"/>
        <name val="Arial"/>
        <family val="2"/>
        <scheme val="none"/>
      </font>
      <fill>
        <patternFill>
          <bgColor theme="0"/>
        </patternFill>
      </fill>
      <border diagonalUp="0" diagonalDown="0">
        <left/>
        <right/>
        <top/>
        <bottom/>
        <vertical/>
        <horizontal/>
      </border>
    </dxf>
    <dxf>
      <font>
        <sz val="20"/>
        <color theme="0"/>
        <name val="Arial"/>
        <family val="2"/>
        <scheme val="none"/>
      </font>
      <fill>
        <patternFill>
          <bgColor theme="0"/>
        </patternFill>
      </fill>
      <border diagonalUp="0" diagonalDown="0">
        <left/>
        <right/>
        <top/>
        <bottom/>
        <vertical/>
        <horizontal/>
      </border>
    </dxf>
    <dxf>
      <font>
        <sz val="12"/>
        <color theme="1"/>
        <name val="Arial"/>
        <family val="2"/>
        <scheme val="none"/>
      </font>
      <fill>
        <patternFill>
          <bgColor theme="0"/>
        </patternFill>
      </fill>
      <border diagonalUp="0" diagonalDown="0">
        <left/>
        <right/>
        <top/>
        <bottom/>
        <vertical/>
        <horizontal/>
      </border>
    </dxf>
    <dxf>
      <font>
        <sz val="12"/>
        <color theme="0"/>
        <name val="Arial"/>
        <family val="2"/>
        <scheme val="none"/>
      </font>
      <fill>
        <patternFill>
          <bgColor theme="0"/>
        </patternFill>
      </fill>
      <border diagonalUp="0" diagonalDown="0">
        <left/>
        <right/>
        <top/>
        <bottom/>
        <vertical/>
        <horizontal/>
      </border>
    </dxf>
    <dxf>
      <font>
        <sz val="20"/>
        <color theme="1"/>
        <name val="Arial"/>
        <family val="2"/>
        <scheme val="none"/>
      </font>
      <fill>
        <patternFill>
          <bgColor theme="0"/>
        </patternFill>
      </fill>
      <border diagonalUp="0" diagonalDown="0">
        <left/>
        <right/>
        <top/>
        <bottom/>
        <vertical/>
        <horizontal/>
      </border>
    </dxf>
    <dxf>
      <font>
        <sz val="20"/>
        <color theme="1"/>
        <name val="Arial"/>
        <family val="2"/>
        <scheme val="none"/>
      </font>
      <fill>
        <patternFill>
          <bgColor theme="0"/>
        </patternFill>
      </fill>
      <border diagonalUp="0" diagonalDown="0">
        <left/>
        <right/>
        <top/>
        <bottom/>
        <vertical/>
        <horizontal/>
      </border>
    </dxf>
    <dxf>
      <font>
        <sz val="12"/>
        <color theme="1"/>
        <name val="Arial"/>
        <family val="2"/>
        <scheme val="none"/>
      </font>
      <fill>
        <patternFill>
          <bgColor theme="0"/>
        </patternFill>
      </fill>
      <border diagonalUp="0" diagonalDown="0">
        <left/>
        <right/>
        <top/>
        <bottom/>
        <vertical/>
        <horizontal/>
      </border>
    </dxf>
    <dxf>
      <font>
        <sz val="12"/>
        <color theme="1"/>
        <name val="Arial"/>
        <family val="2"/>
        <scheme val="none"/>
      </font>
      <fill>
        <patternFill>
          <bgColor theme="0"/>
        </patternFill>
      </fill>
      <border diagonalUp="0" diagonalDown="0">
        <left/>
        <right/>
        <top/>
        <bottom/>
        <vertical/>
        <horizontal/>
      </border>
    </dxf>
    <dxf>
      <font>
        <b/>
        <color theme="1"/>
      </font>
      <border>
        <bottom style="thin">
          <color theme="9"/>
        </bottom>
        <vertical/>
        <horizontal/>
      </border>
    </dxf>
    <dxf>
      <font>
        <sz val="12"/>
        <color theme="1"/>
        <name val="Arial"/>
        <family val="2"/>
        <scheme val="none"/>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12"/>
        <color theme="1"/>
        <name val="Arial"/>
        <family val="2"/>
        <scheme val="none"/>
      </font>
      <border diagonalUp="0" diagonalDown="0">
        <left/>
        <right/>
        <top/>
        <bottom/>
        <vertical/>
        <horizontal/>
      </border>
    </dxf>
    <dxf>
      <font>
        <b/>
        <color theme="1"/>
      </font>
      <border>
        <bottom style="thin">
          <color theme="9"/>
        </bottom>
        <vertical/>
        <horizontal/>
      </border>
    </dxf>
    <dxf>
      <font>
        <sz val="12"/>
        <color theme="1"/>
        <name val="Arial"/>
        <family val="2"/>
        <scheme val="none"/>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12"/>
        <color theme="1"/>
        <name val="Arial"/>
        <family val="2"/>
        <scheme val="none"/>
      </font>
      <border>
        <left style="thin">
          <color theme="9"/>
        </left>
        <right style="thin">
          <color theme="9"/>
        </right>
        <top style="thin">
          <color theme="9"/>
        </top>
        <bottom style="thin">
          <color theme="9"/>
        </bottom>
        <vertical/>
        <horizontal/>
      </border>
    </dxf>
  </dxfs>
  <tableStyles count="9" defaultTableStyle="TableStyleMedium2" defaultPivotStyle="PivotStyleLight16">
    <tableStyle name="Slicer Style 1" pivot="0" table="0" count="1" xr9:uid="{0C21E7AA-A75C-45F5-BBAF-35218D15F812}"/>
    <tableStyle name="SlicerStyleDark6 2" pivot="0" table="0" count="10" xr9:uid="{2A648697-AAA4-4179-BB19-24BA34C33D1D}">
      <tableStyleElement type="wholeTable" dxfId="32"/>
      <tableStyleElement type="headerRow" dxfId="31"/>
    </tableStyle>
    <tableStyle name="SlicerStyleDark6 2 2" pivot="0" table="0" count="10" xr9:uid="{5A66D786-2B84-4A34-8975-E9E126A060EA}">
      <tableStyleElement type="wholeTable" dxfId="30"/>
      <tableStyleElement type="headerRow" dxfId="29"/>
    </tableStyle>
    <tableStyle name="SlicerStyleDark6 2 3" pivot="0" table="0" count="10" xr9:uid="{F06DACE0-82D1-4B06-A1F2-E67CC6034661}">
      <tableStyleElement type="wholeTable" dxfId="28"/>
      <tableStyleElement type="headerRow" dxfId="27"/>
    </tableStyle>
    <tableStyle name="SlicerStyleDark6 2 4" pivot="0" table="0" count="10" xr9:uid="{26D7A31A-8113-4150-845C-D971292A6143}">
      <tableStyleElement type="wholeTable" dxfId="26"/>
      <tableStyleElement type="headerRow" dxfId="25"/>
    </tableStyle>
    <tableStyle name="SlicerStyleDark6 2 4 2" pivot="0" table="0" count="10" xr9:uid="{1FF4724B-4383-4286-916C-563C5EF7AA5F}">
      <tableStyleElement type="wholeTable" dxfId="24"/>
      <tableStyleElement type="headerRow" dxfId="23"/>
    </tableStyle>
    <tableStyle name="SlicerStyleDark6 2 4 3" pivot="0" table="0" count="10" xr9:uid="{4F47012D-C955-4E2D-99F4-E631AE7C6F3D}">
      <tableStyleElement type="wholeTable" dxfId="22"/>
      <tableStyleElement type="headerRow" dxfId="21"/>
    </tableStyle>
    <tableStyle name="SlicerStyleDark6 2 5" pivot="0" table="0" count="10" xr9:uid="{37C8D69F-CE37-49C2-AC6A-91D766EBE0A0}">
      <tableStyleElement type="wholeTable" dxfId="20"/>
      <tableStyleElement type="headerRow" dxfId="19"/>
    </tableStyle>
    <tableStyle name="SlicerStyleDark6 2 5 2" pivot="0" table="0" count="10" xr9:uid="{044752C4-F82B-4F35-974B-96B51C52997B}">
      <tableStyleElement type="wholeTable" dxfId="18"/>
      <tableStyleElement type="headerRow" dxfId="17"/>
    </tableStyle>
  </tableStyles>
  <colors>
    <mruColors>
      <color rgb="FFB0D597"/>
      <color rgb="FF9ECB7F"/>
      <color rgb="FF7CB953"/>
      <color rgb="FF649B3F"/>
      <color rgb="FF538034"/>
      <color rgb="FF6FAC46"/>
      <color rgb="FFAED494"/>
      <color rgb="FF7EBA56"/>
      <color rgb="FF2E471D"/>
      <color rgb="FF91C46E"/>
    </mruColors>
  </colors>
  <extLst>
    <ext xmlns:x14="http://schemas.microsoft.com/office/spreadsheetml/2009/9/main" uri="{46F421CA-312F-682f-3DD2-61675219B42D}">
      <x14:dxfs count="65">
        <dxf>
          <font>
            <sz val="20"/>
            <color rgb="FF000000"/>
            <name val="Arial"/>
            <family val="2"/>
            <scheme val="none"/>
          </font>
          <fill>
            <patternFill patternType="solid">
              <fgColor auto="1"/>
              <bgColor theme="0" tint="-0.24994659260841701"/>
            </patternFill>
          </fill>
          <border diagonalUp="0" diagonalDown="0">
            <left/>
            <right/>
            <top/>
            <bottom/>
            <vertical/>
            <horizontal/>
          </border>
        </dxf>
        <dxf>
          <font>
            <sz val="20"/>
            <color rgb="FF000000"/>
            <name val="Arial"/>
            <family val="2"/>
            <scheme val="none"/>
          </font>
          <fill>
            <patternFill patternType="solid">
              <fgColor auto="1"/>
              <bgColor theme="0" tint="-0.24994659260841701"/>
            </patternFill>
          </fill>
          <border diagonalUp="0" diagonalDown="0">
            <left/>
            <right/>
            <top/>
            <bottom/>
            <vertical/>
            <horizontal/>
          </border>
        </dxf>
        <dxf>
          <font>
            <sz val="20"/>
            <color rgb="FF000000"/>
            <name val="Arial"/>
            <family val="2"/>
            <scheme val="none"/>
          </font>
          <fill>
            <patternFill patternType="solid">
              <fgColor auto="1"/>
              <bgColor theme="0" tint="-0.24994659260841701"/>
            </patternFill>
          </fill>
          <border diagonalUp="0" diagonalDown="0">
            <left/>
            <right/>
            <top/>
            <bottom/>
            <vertical/>
            <horizontal/>
          </border>
        </dxf>
        <dxf>
          <font>
            <sz val="20"/>
            <color rgb="FF000000"/>
            <name val="Arial"/>
            <family val="2"/>
            <scheme val="none"/>
          </font>
          <fill>
            <patternFill patternType="solid">
              <fgColor auto="1"/>
              <bgColor theme="0" tint="-0.24994659260841701"/>
            </patternFill>
          </fill>
          <border diagonalUp="0" diagonalDown="0">
            <left/>
            <right/>
            <top/>
            <bottom/>
            <vertical/>
            <horizontal/>
          </border>
        </dxf>
        <dxf>
          <font>
            <sz val="20"/>
            <color theme="9" tint="-0.249977111117893"/>
            <name val="Arial"/>
            <family val="2"/>
            <scheme val="none"/>
          </font>
          <fill>
            <patternFill patternType="solid">
              <fgColor theme="9" tint="0.59999389629810485"/>
              <bgColor theme="0" tint="-0.24994659260841701"/>
            </patternFill>
          </fill>
          <border diagonalUp="0" diagonalDown="0">
            <left/>
            <right/>
            <top/>
            <bottom/>
            <vertical/>
            <horizontal/>
          </border>
        </dxf>
        <dxf>
          <font>
            <sz val="20"/>
            <color theme="0"/>
            <name val="Arial"/>
            <family val="2"/>
            <scheme val="none"/>
          </font>
          <fill>
            <patternFill patternType="solid">
              <fgColor theme="9"/>
              <bgColor theme="0" tint="-0.24994659260841701"/>
            </patternFill>
          </fill>
          <border diagonalUp="0" diagonalDown="0">
            <left/>
            <right/>
            <top/>
            <bottom/>
            <vertical/>
            <horizontal/>
          </border>
        </dxf>
        <dxf>
          <font>
            <sz val="20"/>
            <color rgb="FF959595"/>
            <name val="Arial"/>
            <family val="2"/>
            <scheme val="none"/>
          </font>
          <fill>
            <patternFill patternType="solid">
              <fgColor rgb="FFDFDFDF"/>
              <bgColor theme="0" tint="-0.24994659260841701"/>
            </patternFill>
          </fill>
          <border diagonalUp="0" diagonalDown="0">
            <left/>
            <right/>
            <top/>
            <bottom/>
            <vertical/>
            <horizontal/>
          </border>
        </dxf>
        <dxf>
          <font>
            <sz val="20"/>
            <color rgb="FF000000"/>
            <name val="Arial"/>
            <family val="2"/>
            <scheme val="none"/>
          </font>
          <fill>
            <patternFill patternType="solid">
              <fgColor rgb="FFC0C0C0"/>
              <bgColor rgb="FFC0C0C0"/>
            </patternFill>
          </fill>
          <border diagonalUp="0" diagonalDown="0">
            <left/>
            <right/>
            <top/>
            <bottom/>
            <vertical/>
            <horizontal/>
          </border>
        </dxf>
        <dxf>
          <font>
            <sz val="12"/>
            <color rgb="FF000000"/>
            <name val="Arial"/>
            <family val="2"/>
            <scheme val="none"/>
          </font>
          <fill>
            <patternFill patternType="solid">
              <fgColor auto="1"/>
              <bgColor theme="9" tint="0.79998168889431442"/>
            </patternFill>
          </fill>
          <border diagonalUp="0" diagonalDown="0">
            <left/>
            <right/>
            <top/>
            <bottom/>
            <vertical/>
            <horizontal/>
          </border>
        </dxf>
        <dxf>
          <font>
            <sz val="12"/>
            <color rgb="FF000000"/>
            <name val="Arial"/>
            <family val="2"/>
            <scheme val="none"/>
          </font>
          <fill>
            <patternFill patternType="solid">
              <fgColor auto="1"/>
              <bgColor theme="9" tint="0.79998168889431442"/>
            </patternFill>
          </fill>
          <border diagonalUp="0" diagonalDown="0">
            <left/>
            <right/>
            <top/>
            <bottom/>
            <vertical/>
            <horizontal/>
          </border>
        </dxf>
        <dxf>
          <font>
            <sz val="12"/>
            <color rgb="FF000000"/>
            <name val="Arial"/>
            <family val="2"/>
            <scheme val="none"/>
          </font>
          <fill>
            <patternFill patternType="solid">
              <fgColor auto="1"/>
              <bgColor theme="9" tint="0.79998168889431442"/>
            </patternFill>
          </fill>
          <border diagonalUp="0" diagonalDown="0">
            <left/>
            <right/>
            <top/>
            <bottom/>
            <vertical/>
            <horizontal/>
          </border>
        </dxf>
        <dxf>
          <font>
            <sz val="12"/>
            <color rgb="FF000000"/>
            <name val="Arial"/>
            <family val="2"/>
            <scheme val="none"/>
          </font>
          <fill>
            <patternFill patternType="solid">
              <fgColor auto="1"/>
              <bgColor theme="9" tint="0.79998168889431442"/>
            </patternFill>
          </fill>
          <border diagonalUp="0" diagonalDown="0">
            <left/>
            <right/>
            <top/>
            <bottom/>
            <vertical/>
            <horizontal/>
          </border>
        </dxf>
        <dxf>
          <font>
            <sz val="12"/>
            <color theme="9" tint="-0.249977111117893"/>
            <name val="Arial"/>
            <family val="2"/>
            <scheme val="none"/>
          </font>
          <fill>
            <patternFill patternType="solid">
              <fgColor theme="9" tint="0.59999389629810485"/>
              <bgColor rgb="FFC0DDAD"/>
            </patternFill>
          </fill>
          <border diagonalUp="0" diagonalDown="0">
            <left/>
            <right/>
            <top/>
            <bottom/>
            <vertical/>
            <horizontal/>
          </border>
        </dxf>
        <dxf>
          <font>
            <sz val="12"/>
            <color theme="0"/>
            <name val="Arial"/>
            <family val="2"/>
            <scheme val="none"/>
          </font>
          <fill>
            <patternFill patternType="solid">
              <fgColor theme="9"/>
              <bgColor rgb="FF385723"/>
            </patternFill>
          </fill>
          <border diagonalUp="0" diagonalDown="0">
            <left/>
            <right/>
            <top/>
            <bottom/>
            <vertical/>
            <horizontal/>
          </border>
        </dxf>
        <dxf>
          <font>
            <sz val="12"/>
            <color rgb="FF959595"/>
            <name val="Arial"/>
            <family val="2"/>
            <scheme val="none"/>
          </font>
          <fill>
            <patternFill patternType="solid">
              <fgColor rgb="FFDFDFDF"/>
              <bgColor rgb="FFDFDFDF"/>
            </patternFill>
          </fill>
          <border diagonalUp="0" diagonalDown="0">
            <left/>
            <right/>
            <top/>
            <bottom/>
            <vertical/>
            <horizontal/>
          </border>
        </dxf>
        <dxf>
          <font>
            <sz val="12"/>
            <color rgb="FF000000"/>
            <name val="Arial"/>
            <family val="2"/>
            <scheme val="none"/>
          </font>
          <fill>
            <patternFill patternType="solid">
              <fgColor rgb="FFC0C0C0"/>
              <bgColor rgb="FFC0C0C0"/>
            </patternFill>
          </fill>
          <border diagonalUp="0" diagonalDown="0">
            <left/>
            <right/>
            <top/>
            <bottom/>
            <vertical/>
            <horizontal/>
          </border>
        </dxf>
        <dxf>
          <font>
            <sz val="20"/>
            <color rgb="FF000000"/>
            <name val="Arial"/>
            <family val="2"/>
            <scheme val="none"/>
          </font>
          <fill>
            <patternFill patternType="solid">
              <fgColor auto="1"/>
              <bgColor theme="0" tint="-0.14996795556505021"/>
            </patternFill>
          </fill>
          <border diagonalUp="0" diagonalDown="0">
            <left/>
            <right/>
            <top/>
            <bottom/>
            <vertical/>
            <horizontal/>
          </border>
        </dxf>
        <dxf>
          <font>
            <sz val="20"/>
            <color rgb="FF000000"/>
            <name val="Arial"/>
            <family val="2"/>
            <scheme val="none"/>
          </font>
          <fill>
            <patternFill patternType="solid">
              <fgColor auto="1"/>
              <bgColor theme="0" tint="-0.24994659260841701"/>
            </patternFill>
          </fill>
          <border diagonalUp="0" diagonalDown="0">
            <left/>
            <right/>
            <top/>
            <bottom/>
            <vertical/>
            <horizontal/>
          </border>
        </dxf>
        <dxf>
          <font>
            <sz val="20"/>
            <color rgb="FF000000"/>
            <name val="Arial"/>
            <family val="2"/>
            <scheme val="none"/>
          </font>
          <fill>
            <patternFill patternType="solid">
              <fgColor auto="1"/>
              <bgColor theme="0" tint="-0.14996795556505021"/>
            </patternFill>
          </fill>
          <border diagonalUp="0" diagonalDown="0">
            <left/>
            <right/>
            <top/>
            <bottom/>
            <vertical/>
            <horizontal/>
          </border>
        </dxf>
        <dxf>
          <font>
            <sz val="20"/>
            <color rgb="FF000000"/>
            <name val="Arial"/>
            <family val="2"/>
            <scheme val="none"/>
          </font>
          <fill>
            <patternFill patternType="solid">
              <fgColor auto="1"/>
              <bgColor theme="0" tint="-0.14996795556505021"/>
            </patternFill>
          </fill>
          <border diagonalUp="0" diagonalDown="0">
            <left/>
            <right/>
            <top/>
            <bottom/>
            <vertical/>
            <horizontal/>
          </border>
        </dxf>
        <dxf>
          <font>
            <sz val="20"/>
            <color theme="9" tint="-0.249977111117893"/>
            <name val="Arial"/>
            <family val="2"/>
            <scheme val="none"/>
          </font>
          <fill>
            <patternFill patternType="solid">
              <fgColor theme="9" tint="0.59999389629810485"/>
              <bgColor theme="9" tint="0.59999389629810485"/>
            </patternFill>
          </fill>
          <border diagonalUp="0" diagonalDown="0">
            <left/>
            <right/>
            <top/>
            <bottom/>
            <vertical/>
            <horizontal/>
          </border>
        </dxf>
        <dxf>
          <font>
            <sz val="20"/>
            <color theme="0"/>
            <name val="Arial"/>
            <family val="2"/>
            <scheme val="none"/>
          </font>
          <fill>
            <patternFill patternType="solid">
              <fgColor theme="9"/>
              <bgColor rgb="FF385723"/>
            </patternFill>
          </fill>
          <border diagonalUp="0" diagonalDown="0">
            <left/>
            <right/>
            <top/>
            <bottom/>
            <vertical/>
            <horizontal/>
          </border>
        </dxf>
        <dxf>
          <font>
            <sz val="20"/>
            <color rgb="FF959595"/>
            <name val="Arial"/>
            <family val="2"/>
            <scheme val="none"/>
          </font>
          <fill>
            <patternFill patternType="solid">
              <fgColor rgb="FFDFDFDF"/>
              <bgColor rgb="FFDFDFDF"/>
            </patternFill>
          </fill>
          <border diagonalUp="0" diagonalDown="0">
            <left/>
            <right/>
            <top/>
            <bottom/>
            <vertical/>
            <horizontal/>
          </border>
        </dxf>
        <dxf>
          <font>
            <sz val="20"/>
            <color rgb="FF000000"/>
            <name val="Arial"/>
            <family val="2"/>
            <scheme val="none"/>
          </font>
          <fill>
            <patternFill patternType="solid">
              <fgColor rgb="FFC0C0C0"/>
              <bgColor rgb="FFC0C0C0"/>
            </patternFill>
          </fill>
          <border diagonalUp="0" diagonalDown="0">
            <left/>
            <right/>
            <top/>
            <bottom/>
            <vertical/>
            <horizontal/>
          </border>
        </dxf>
        <dxf>
          <font>
            <sz val="12"/>
            <color rgb="FF000000"/>
            <name val="Arial"/>
            <family val="2"/>
            <scheme val="none"/>
          </font>
          <fill>
            <patternFill patternType="solid">
              <fgColor auto="1"/>
              <bgColor theme="0" tint="-0.14996795556505021"/>
            </patternFill>
          </fill>
          <border diagonalUp="0" diagonalDown="0">
            <left/>
            <right/>
            <top/>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sz val="12"/>
            <color rgb="FF000000"/>
            <name val="Arial"/>
            <family val="2"/>
            <scheme val="none"/>
          </font>
          <fill>
            <patternFill patternType="solid">
              <fgColor auto="1"/>
              <bgColor theme="0" tint="-0.14996795556505021"/>
            </patternFill>
          </fill>
          <border diagonalUp="0" diagonalDown="0">
            <left/>
            <right/>
            <top/>
            <bottom/>
            <vertical/>
            <horizontal/>
          </border>
        </dxf>
        <dxf>
          <font>
            <sz val="12"/>
            <color rgb="FF000000"/>
            <name val="Arial"/>
            <family val="2"/>
            <scheme val="none"/>
          </font>
          <fill>
            <patternFill patternType="solid">
              <fgColor auto="1"/>
              <bgColor theme="0" tint="-0.14996795556505021"/>
            </patternFill>
          </fill>
          <border diagonalUp="0" diagonalDown="0">
            <left/>
            <right/>
            <top/>
            <bottom/>
            <vertical/>
            <horizontal/>
          </border>
        </dxf>
        <dxf>
          <font>
            <color theme="9" tint="-0.249977111117893"/>
          </font>
          <fill>
            <patternFill patternType="solid">
              <fgColor theme="9" tint="0.59999389629810485"/>
              <bgColor theme="9" tint="0.79998168889431442"/>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sz val="12"/>
            <color theme="0"/>
            <name val="Arial"/>
            <family val="2"/>
            <scheme val="none"/>
          </font>
          <fill>
            <patternFill patternType="solid">
              <fgColor theme="9"/>
              <bgColor rgb="FF385723"/>
            </patternFill>
          </fill>
          <border diagonalUp="0" diagonalDown="0">
            <left/>
            <right/>
            <top/>
            <bottom/>
            <vertical/>
            <horizontal/>
          </border>
        </dxf>
        <dxf>
          <font>
            <sz val="12"/>
            <color rgb="FF959595"/>
            <name val="Arial"/>
            <family val="2"/>
            <scheme val="none"/>
          </font>
          <fill>
            <patternFill patternType="solid">
              <fgColor rgb="FFDFDFDF"/>
              <bgColor theme="2"/>
            </patternFill>
          </fill>
          <border diagonalUp="0" diagonalDown="0">
            <left/>
            <right/>
            <top/>
            <bottom/>
            <vertical/>
            <horizontal/>
          </border>
        </dxf>
        <dxf>
          <font>
            <sz val="12"/>
            <color rgb="FF000000"/>
            <name val="Arial"/>
            <family val="2"/>
            <scheme val="none"/>
          </font>
          <fill>
            <patternFill patternType="solid">
              <fgColor rgb="FFC0C0C0"/>
              <bgColor them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sz val="12"/>
            <color theme="0"/>
            <name val="Arial"/>
            <family val="2"/>
            <scheme val="none"/>
          </font>
          <fill>
            <patternFill patternType="solid">
              <fgColor theme="9"/>
              <bgColor rgb="FF385723"/>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385723"/>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sz val="12"/>
            <color theme="0"/>
            <name val="Arial"/>
            <family val="2"/>
            <scheme val="none"/>
          </font>
          <fill>
            <patternFill patternType="solid">
              <fgColor theme="9"/>
              <bgColor rgb="FF385723"/>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385723"/>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Dark6 2 4">
        <x14:slicerStyle name="Slicer Style 1">
          <x14:slicerStyleElements>
            <x14:slicerStyleElement type="selectedItemWithData" dxfId="64"/>
          </x14:slicerStyleElements>
        </x14:slicerStyle>
        <x14:slicerStyle name="SlicerStyleDark6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6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6 2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6 2 4">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6 2 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6 2 4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microsoft.com/office/2017/10/relationships/person" Target="persons/pers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30" Type="http://schemas.microsoft.com/office/2017/10/relationships/person" Target="persons/person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project.xlsx]Sales Trend report!PivotTable1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6">
                    <a:lumMod val="50000"/>
                  </a:schemeClr>
                </a:solidFill>
                <a:latin typeface="Arial" panose="020B0604020202020204" pitchFamily="34" charset="0"/>
                <a:cs typeface="Arial" panose="020B0604020202020204" pitchFamily="34" charset="0"/>
              </a:rPr>
              <a:t>Sales trend report of the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report'!$B$3</c:f>
              <c:strCache>
                <c:ptCount val="1"/>
                <c:pt idx="0">
                  <c:v>Total</c:v>
                </c:pt>
              </c:strCache>
            </c:strRef>
          </c:tx>
          <c:spPr>
            <a:ln w="28575" cap="rnd">
              <a:solidFill>
                <a:schemeClr val="accent6">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D969-46F7-A5B8-04413EC485CA}"/>
            </c:ext>
          </c:extLst>
        </c:ser>
        <c:dLbls>
          <c:dLblPos val="t"/>
          <c:showLegendKey val="0"/>
          <c:showVal val="1"/>
          <c:showCatName val="0"/>
          <c:showSerName val="0"/>
          <c:showPercent val="0"/>
          <c:showBubbleSize val="0"/>
        </c:dLbls>
        <c:smooth val="0"/>
        <c:axId val="927550256"/>
        <c:axId val="927551240"/>
      </c:lineChart>
      <c:catAx>
        <c:axId val="92755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551240"/>
        <c:crosses val="autoZero"/>
        <c:auto val="1"/>
        <c:lblAlgn val="ctr"/>
        <c:lblOffset val="100"/>
        <c:noMultiLvlLbl val="0"/>
      </c:catAx>
      <c:valAx>
        <c:axId val="92755124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92755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project.xlsx]Top 10 Customer by revenue!PivotTable1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solidFill>
                  <a:schemeClr val="accent6">
                    <a:lumMod val="50000"/>
                  </a:schemeClr>
                </a:solidFill>
                <a:latin typeface="Arial" panose="020B0604020202020204" pitchFamily="34" charset="0"/>
                <a:cs typeface="Arial" panose="020B0604020202020204" pitchFamily="34" charset="0"/>
              </a:rPr>
              <a:t>Top 10 Customer by revenue</a:t>
            </a:r>
          </a:p>
        </c:rich>
      </c:tx>
      <c:layout>
        <c:manualLayout>
          <c:xMode val="edge"/>
          <c:yMode val="edge"/>
          <c:x val="0.2595207786526684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70C0"/>
          </a:solidFill>
          <a:ln>
            <a:noFill/>
          </a:ln>
          <a:effectLst/>
        </c:spPr>
      </c:pivotFmt>
      <c:pivotFmt>
        <c:idx val="3"/>
        <c:spPr>
          <a:solidFill>
            <a:srgbClr val="0070C0"/>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pivotFmt>
      <c:pivotFmt>
        <c:idx val="11"/>
        <c:spPr>
          <a:solidFill>
            <a:srgbClr val="0070C0"/>
          </a:solidFill>
          <a:ln>
            <a:noFill/>
          </a:ln>
          <a:effectLst/>
        </c:spPr>
      </c:pivotFmt>
      <c:pivotFmt>
        <c:idx val="12"/>
        <c:spPr>
          <a:solidFill>
            <a:srgbClr val="0070C0"/>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ln w="28575" cap="rnd">
            <a:solidFill>
              <a:schemeClr val="accent6">
                <a:lumMod val="50000"/>
              </a:schemeClr>
            </a:solidFill>
            <a:round/>
          </a:ln>
          <a:effectLst/>
        </c:spPr>
        <c:marker>
          <c:symbol val="none"/>
        </c:marker>
        <c:dLbl>
          <c:idx val="0"/>
          <c:layout>
            <c:manualLayout>
              <c:x val="-1.0185067526415994E-1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6">
                <a:lumMod val="50000"/>
              </a:schemeClr>
            </a:solidFill>
            <a:round/>
          </a:ln>
          <a:effectLst/>
        </c:spPr>
        <c:marker>
          <c:symbol val="none"/>
        </c:marker>
        <c:dLbl>
          <c:idx val="0"/>
          <c:layout>
            <c:manualLayout>
              <c:x val="0.1333333333333333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6">
                <a:lumMod val="50000"/>
              </a:schemeClr>
            </a:solidFill>
            <a:round/>
          </a:ln>
          <a:effectLst/>
        </c:spPr>
        <c:marker>
          <c:symbol val="none"/>
        </c:marker>
        <c:dLbl>
          <c:idx val="0"/>
          <c:layout>
            <c:manualLayout>
              <c:x val="0.1472222222222222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6">
                <a:lumMod val="50000"/>
              </a:schemeClr>
            </a:solidFill>
            <a:round/>
          </a:ln>
          <a:effectLst/>
        </c:spPr>
        <c:marker>
          <c:symbol val="none"/>
        </c:marker>
        <c:dLbl>
          <c:idx val="0"/>
          <c:layout>
            <c:manualLayout>
              <c:x val="0.14999999999999991"/>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lumMod val="50000"/>
              </a:schemeClr>
            </a:solidFill>
            <a:round/>
          </a:ln>
          <a:effectLst/>
        </c:spPr>
        <c:marker>
          <c:symbol val="none"/>
        </c:marker>
        <c:dLbl>
          <c:idx val="0"/>
          <c:layout>
            <c:manualLayout>
              <c:x val="0.1083333333333332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6">
                <a:lumMod val="50000"/>
              </a:schemeClr>
            </a:solidFill>
            <a:round/>
          </a:ln>
          <a:effectLst/>
        </c:spPr>
        <c:marker>
          <c:symbol val="none"/>
        </c:marker>
        <c:dLbl>
          <c:idx val="0"/>
          <c:layout>
            <c:manualLayout>
              <c:x val="-1.0185067526415994E-16"/>
              <c:y val="0.10648148148148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lumMod val="50000"/>
              </a:schemeClr>
            </a:solidFill>
            <a:round/>
          </a:ln>
          <a:effectLst/>
        </c:spPr>
        <c:marker>
          <c:symbol val="none"/>
        </c:marker>
        <c:dLbl>
          <c:idx val="0"/>
          <c:layout>
            <c:manualLayout>
              <c:x val="-0.10833333333333334"/>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6">
                <a:lumMod val="50000"/>
              </a:schemeClr>
            </a:solidFill>
            <a:round/>
          </a:ln>
          <a:effectLst/>
        </c:spPr>
        <c:marker>
          <c:symbol val="none"/>
        </c:marker>
        <c:dLbl>
          <c:idx val="0"/>
          <c:layout>
            <c:manualLayout>
              <c:x val="-0.11944444444444446"/>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6">
                <a:lumMod val="50000"/>
              </a:schemeClr>
            </a:solidFill>
            <a:round/>
          </a:ln>
          <a:effectLst/>
        </c:spPr>
        <c:marker>
          <c:symbol val="none"/>
        </c:marker>
        <c:dLbl>
          <c:idx val="0"/>
          <c:layout>
            <c:manualLayout>
              <c:x val="-0.119444444444444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6">
                <a:lumMod val="50000"/>
              </a:schemeClr>
            </a:solidFill>
            <a:round/>
          </a:ln>
          <a:effectLst/>
        </c:spPr>
        <c:marker>
          <c:symbol val="none"/>
        </c:marker>
        <c:dLbl>
          <c:idx val="0"/>
          <c:layout>
            <c:manualLayout>
              <c:x val="-6.94444444444444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10 Customer by revenue'!$B$3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94BD-403D-8FD3-34C80B1F2735}"/>
              </c:ext>
            </c:extLst>
          </c:dPt>
          <c:dPt>
            <c:idx val="1"/>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3-94BD-403D-8FD3-34C80B1F2735}"/>
              </c:ext>
            </c:extLst>
          </c:dPt>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5-94BD-403D-8FD3-34C80B1F2735}"/>
              </c:ext>
            </c:extLst>
          </c:dPt>
          <c:dPt>
            <c:idx val="3"/>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7-94BD-403D-8FD3-34C80B1F2735}"/>
              </c:ext>
            </c:extLst>
          </c:dPt>
          <c:dPt>
            <c:idx val="4"/>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9-94BD-403D-8FD3-34C80B1F2735}"/>
              </c:ext>
            </c:extLst>
          </c:dPt>
          <c:dPt>
            <c:idx val="5"/>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B-94BD-403D-8FD3-34C80B1F2735}"/>
              </c:ext>
            </c:extLst>
          </c:dPt>
          <c:dPt>
            <c:idx val="6"/>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D-94BD-403D-8FD3-34C80B1F2735}"/>
              </c:ext>
            </c:extLst>
          </c:dPt>
          <c:dPt>
            <c:idx val="7"/>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F-94BD-403D-8FD3-34C80B1F2735}"/>
              </c:ext>
            </c:extLst>
          </c:dPt>
          <c:dPt>
            <c:idx val="8"/>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12-94BD-403D-8FD3-34C80B1F2735}"/>
              </c:ext>
            </c:extLst>
          </c:dPt>
          <c:dPt>
            <c:idx val="9"/>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11-94BD-403D-8FD3-34C80B1F2735}"/>
              </c:ext>
            </c:extLst>
          </c:dPt>
          <c:dLbls>
            <c:dLbl>
              <c:idx val="0"/>
              <c:layout>
                <c:manualLayout>
                  <c:x val="-1.0185067526415994E-16"/>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BD-403D-8FD3-34C80B1F2735}"/>
                </c:ext>
              </c:extLst>
            </c:dLbl>
            <c:dLbl>
              <c:idx val="1"/>
              <c:layout>
                <c:manualLayout>
                  <c:x val="-6.94444444444444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BD-403D-8FD3-34C80B1F2735}"/>
                </c:ext>
              </c:extLst>
            </c:dLbl>
            <c:dLbl>
              <c:idx val="2"/>
              <c:layout>
                <c:manualLayout>
                  <c:x val="-0.11944444444444446"/>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BD-403D-8FD3-34C80B1F2735}"/>
                </c:ext>
              </c:extLst>
            </c:dLbl>
            <c:dLbl>
              <c:idx val="3"/>
              <c:layout>
                <c:manualLayout>
                  <c:x val="-0.11944444444444446"/>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BD-403D-8FD3-34C80B1F2735}"/>
                </c:ext>
              </c:extLst>
            </c:dLbl>
            <c:dLbl>
              <c:idx val="4"/>
              <c:layout>
                <c:manualLayout>
                  <c:x val="-0.10833333333333334"/>
                  <c:y val="4.6296296296296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4BD-403D-8FD3-34C80B1F2735}"/>
                </c:ext>
              </c:extLst>
            </c:dLbl>
            <c:dLbl>
              <c:idx val="5"/>
              <c:layout>
                <c:manualLayout>
                  <c:x val="-1.0185067526415994E-16"/>
                  <c:y val="0.106481481481481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4BD-403D-8FD3-34C80B1F2735}"/>
                </c:ext>
              </c:extLst>
            </c:dLbl>
            <c:dLbl>
              <c:idx val="6"/>
              <c:layout>
                <c:manualLayout>
                  <c:x val="0.1083333333333332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4BD-403D-8FD3-34C80B1F2735}"/>
                </c:ext>
              </c:extLst>
            </c:dLbl>
            <c:dLbl>
              <c:idx val="7"/>
              <c:layout>
                <c:manualLayout>
                  <c:x val="0.14999999999999991"/>
                  <c:y val="8.7962962962963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4BD-403D-8FD3-34C80B1F2735}"/>
                </c:ext>
              </c:extLst>
            </c:dLbl>
            <c:dLbl>
              <c:idx val="8"/>
              <c:layout>
                <c:manualLayout>
                  <c:x val="0.1472222222222222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4BD-403D-8FD3-34C80B1F2735}"/>
                </c:ext>
              </c:extLst>
            </c:dLbl>
            <c:dLbl>
              <c:idx val="9"/>
              <c:layout>
                <c:manualLayout>
                  <c:x val="0.13333333333333333"/>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4BD-403D-8FD3-34C80B1F27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 by revenue'!$A$4:$A$14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 by revenue'!$B$4:$B$14</c:f>
              <c:numCache>
                <c:formatCode>"$"#,##0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0-94BD-403D-8FD3-34C80B1F2735}"/>
            </c:ext>
          </c:extLst>
        </c:ser>
        <c:dLbls>
          <c:showLegendKey val="0"/>
          <c:showVal val="1"/>
          <c:showCatName val="0"/>
          <c:showSerName val="0"/>
          <c:showPercent val="0"/>
          <c:showBubbleSize val="0"/>
        </c:dLbls>
        <c:axId val="383363808"/>
        <c:axId val="383361184"/>
      </c:radarChart>
      <c:catAx>
        <c:axId val="38336380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361184"/>
        <c:crosses val="autoZero"/>
        <c:auto val="1"/>
        <c:lblAlgn val="ctr"/>
        <c:lblOffset val="100"/>
        <c:noMultiLvlLbl val="0"/>
      </c:catAx>
      <c:valAx>
        <c:axId val="38336118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8336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project.xlsx]Sales by Rep!PivotTable1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solidFill>
                  <a:schemeClr val="accent6">
                    <a:lumMod val="50000"/>
                  </a:schemeClr>
                </a:solidFill>
                <a:latin typeface="Arial" panose="020B0604020202020204" pitchFamily="34" charset="0"/>
                <a:cs typeface="Arial" panose="020B0604020202020204" pitchFamily="34" charset="0"/>
              </a:rPr>
              <a:t>Sales</a:t>
            </a:r>
            <a:r>
              <a:rPr lang="en-US" sz="1200" b="0" baseline="0">
                <a:solidFill>
                  <a:schemeClr val="accent6">
                    <a:lumMod val="50000"/>
                  </a:schemeClr>
                </a:solidFill>
                <a:latin typeface="Arial" panose="020B0604020202020204" pitchFamily="34" charset="0"/>
                <a:cs typeface="Arial" panose="020B0604020202020204" pitchFamily="34" charset="0"/>
              </a:rPr>
              <a:t> by Rep</a:t>
            </a:r>
            <a:endParaRPr lang="en-US" sz="1200" b="0">
              <a:solidFill>
                <a:schemeClr val="accent6">
                  <a:lumMod val="50000"/>
                </a:schemeClr>
              </a:solidFill>
              <a:latin typeface="Arial" panose="020B0604020202020204" pitchFamily="34" charset="0"/>
              <a:cs typeface="Arial" panose="020B0604020202020204" pitchFamily="34" charset="0"/>
            </a:endParaRPr>
          </a:p>
        </c:rich>
      </c:tx>
      <c:layout>
        <c:manualLayout>
          <c:xMode val="edge"/>
          <c:yMode val="edge"/>
          <c:x val="0.36785411198600176"/>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471D"/>
          </a:solidFill>
          <a:ln>
            <a:noFill/>
          </a:ln>
          <a:effectLst/>
        </c:spPr>
      </c:pivotFmt>
      <c:pivotFmt>
        <c:idx val="2"/>
        <c:spPr>
          <a:solidFill>
            <a:srgbClr val="4C7430"/>
          </a:solidFill>
          <a:ln>
            <a:noFill/>
          </a:ln>
          <a:effectLst/>
        </c:spPr>
      </c:pivotFmt>
      <c:pivotFmt>
        <c:idx val="3"/>
        <c:spPr>
          <a:solidFill>
            <a:srgbClr val="61953D"/>
          </a:solidFill>
          <a:ln>
            <a:noFill/>
          </a:ln>
          <a:effectLst/>
        </c:spPr>
      </c:pivotFmt>
      <c:pivotFmt>
        <c:idx val="4"/>
        <c:spPr>
          <a:solidFill>
            <a:srgbClr val="6FAC46"/>
          </a:solidFill>
          <a:ln>
            <a:noFill/>
          </a:ln>
          <a:effectLst/>
        </c:spPr>
      </c:pivotFmt>
      <c:pivotFmt>
        <c:idx val="5"/>
        <c:spPr>
          <a:solidFill>
            <a:srgbClr val="7EBA56"/>
          </a:solidFill>
          <a:ln>
            <a:noFill/>
          </a:ln>
          <a:effectLst/>
        </c:spPr>
      </c:pivotFmt>
      <c:pivotFmt>
        <c:idx val="6"/>
        <c:spPr>
          <a:solidFill>
            <a:srgbClr val="91C46E"/>
          </a:solidFill>
          <a:ln>
            <a:noFill/>
          </a:ln>
          <a:effectLst/>
        </c:spPr>
      </c:pivotFmt>
      <c:pivotFmt>
        <c:idx val="7"/>
        <c:spPr>
          <a:solidFill>
            <a:srgbClr val="AED494"/>
          </a:solidFill>
          <a:ln>
            <a:noFill/>
          </a:ln>
          <a:effectLst/>
        </c:spPr>
      </c:pivotFmt>
      <c:pivotFmt>
        <c:idx val="8"/>
        <c:spPr>
          <a:solidFill>
            <a:srgbClr val="CBE4BA"/>
          </a:solidFill>
          <a:ln>
            <a:noFill/>
          </a:ln>
          <a:effectLst/>
        </c:spPr>
      </c:pivotFmt>
    </c:pivotFmts>
    <c:plotArea>
      <c:layout/>
      <c:barChart>
        <c:barDir val="bar"/>
        <c:grouping val="clustered"/>
        <c:varyColors val="0"/>
        <c:ser>
          <c:idx val="0"/>
          <c:order val="0"/>
          <c:tx>
            <c:strRef>
              <c:f>'Sales by Rep'!$B$3</c:f>
              <c:strCache>
                <c:ptCount val="1"/>
                <c:pt idx="0">
                  <c:v>Total</c:v>
                </c:pt>
              </c:strCache>
            </c:strRef>
          </c:tx>
          <c:spPr>
            <a:solidFill>
              <a:schemeClr val="accent1"/>
            </a:solidFill>
            <a:ln>
              <a:noFill/>
            </a:ln>
            <a:effectLst/>
          </c:spPr>
          <c:invertIfNegative val="0"/>
          <c:dPt>
            <c:idx val="0"/>
            <c:invertIfNegative val="0"/>
            <c:bubble3D val="0"/>
            <c:spPr>
              <a:solidFill>
                <a:srgbClr val="2E471D"/>
              </a:solidFill>
              <a:ln>
                <a:noFill/>
              </a:ln>
              <a:effectLst/>
            </c:spPr>
            <c:extLst>
              <c:ext xmlns:c16="http://schemas.microsoft.com/office/drawing/2014/chart" uri="{C3380CC4-5D6E-409C-BE32-E72D297353CC}">
                <c16:uniqueId val="{00000001-3773-4AA1-AB9F-07121884E119}"/>
              </c:ext>
            </c:extLst>
          </c:dPt>
          <c:dPt>
            <c:idx val="1"/>
            <c:invertIfNegative val="0"/>
            <c:bubble3D val="0"/>
            <c:spPr>
              <a:solidFill>
                <a:srgbClr val="4C7430"/>
              </a:solidFill>
              <a:ln>
                <a:noFill/>
              </a:ln>
              <a:effectLst/>
            </c:spPr>
            <c:extLst>
              <c:ext xmlns:c16="http://schemas.microsoft.com/office/drawing/2014/chart" uri="{C3380CC4-5D6E-409C-BE32-E72D297353CC}">
                <c16:uniqueId val="{00000002-3773-4AA1-AB9F-07121884E119}"/>
              </c:ext>
            </c:extLst>
          </c:dPt>
          <c:dPt>
            <c:idx val="2"/>
            <c:invertIfNegative val="0"/>
            <c:bubble3D val="0"/>
            <c:spPr>
              <a:solidFill>
                <a:srgbClr val="61953D"/>
              </a:solidFill>
              <a:ln>
                <a:noFill/>
              </a:ln>
              <a:effectLst/>
            </c:spPr>
            <c:extLst>
              <c:ext xmlns:c16="http://schemas.microsoft.com/office/drawing/2014/chart" uri="{C3380CC4-5D6E-409C-BE32-E72D297353CC}">
                <c16:uniqueId val="{00000003-3773-4AA1-AB9F-07121884E119}"/>
              </c:ext>
            </c:extLst>
          </c:dPt>
          <c:dPt>
            <c:idx val="3"/>
            <c:invertIfNegative val="0"/>
            <c:bubble3D val="0"/>
            <c:spPr>
              <a:solidFill>
                <a:srgbClr val="6FAC46"/>
              </a:solidFill>
              <a:ln>
                <a:noFill/>
              </a:ln>
              <a:effectLst/>
            </c:spPr>
            <c:extLst>
              <c:ext xmlns:c16="http://schemas.microsoft.com/office/drawing/2014/chart" uri="{C3380CC4-5D6E-409C-BE32-E72D297353CC}">
                <c16:uniqueId val="{00000004-3773-4AA1-AB9F-07121884E119}"/>
              </c:ext>
            </c:extLst>
          </c:dPt>
          <c:dPt>
            <c:idx val="4"/>
            <c:invertIfNegative val="0"/>
            <c:bubble3D val="0"/>
            <c:spPr>
              <a:solidFill>
                <a:srgbClr val="7EBA56"/>
              </a:solidFill>
              <a:ln>
                <a:noFill/>
              </a:ln>
              <a:effectLst/>
            </c:spPr>
            <c:extLst>
              <c:ext xmlns:c16="http://schemas.microsoft.com/office/drawing/2014/chart" uri="{C3380CC4-5D6E-409C-BE32-E72D297353CC}">
                <c16:uniqueId val="{00000005-3773-4AA1-AB9F-07121884E119}"/>
              </c:ext>
            </c:extLst>
          </c:dPt>
          <c:dPt>
            <c:idx val="5"/>
            <c:invertIfNegative val="0"/>
            <c:bubble3D val="0"/>
            <c:spPr>
              <a:solidFill>
                <a:srgbClr val="91C46E"/>
              </a:solidFill>
              <a:ln>
                <a:noFill/>
              </a:ln>
              <a:effectLst/>
            </c:spPr>
            <c:extLst>
              <c:ext xmlns:c16="http://schemas.microsoft.com/office/drawing/2014/chart" uri="{C3380CC4-5D6E-409C-BE32-E72D297353CC}">
                <c16:uniqueId val="{00000006-3773-4AA1-AB9F-07121884E119}"/>
              </c:ext>
            </c:extLst>
          </c:dPt>
          <c:dPt>
            <c:idx val="6"/>
            <c:invertIfNegative val="0"/>
            <c:bubble3D val="0"/>
            <c:spPr>
              <a:solidFill>
                <a:srgbClr val="AED494"/>
              </a:solidFill>
              <a:ln>
                <a:noFill/>
              </a:ln>
              <a:effectLst/>
            </c:spPr>
            <c:extLst>
              <c:ext xmlns:c16="http://schemas.microsoft.com/office/drawing/2014/chart" uri="{C3380CC4-5D6E-409C-BE32-E72D297353CC}">
                <c16:uniqueId val="{00000007-3773-4AA1-AB9F-07121884E119}"/>
              </c:ext>
            </c:extLst>
          </c:dPt>
          <c:dPt>
            <c:idx val="7"/>
            <c:invertIfNegative val="0"/>
            <c:bubble3D val="0"/>
            <c:spPr>
              <a:solidFill>
                <a:srgbClr val="CBE4BA"/>
              </a:solidFill>
              <a:ln>
                <a:noFill/>
              </a:ln>
              <a:effectLst/>
            </c:spPr>
            <c:extLst>
              <c:ext xmlns:c16="http://schemas.microsoft.com/office/drawing/2014/chart" uri="{C3380CC4-5D6E-409C-BE32-E72D297353CC}">
                <c16:uniqueId val="{00000008-3773-4AA1-AB9F-07121884E1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Rep'!$B$4:$B$12</c:f>
              <c:numCache>
                <c:formatCode>"$"#,##0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0-3773-4AA1-AB9F-07121884E119}"/>
            </c:ext>
          </c:extLst>
        </c:ser>
        <c:dLbls>
          <c:dLblPos val="outEnd"/>
          <c:showLegendKey val="0"/>
          <c:showVal val="1"/>
          <c:showCatName val="0"/>
          <c:showSerName val="0"/>
          <c:showPercent val="0"/>
          <c:showBubbleSize val="0"/>
        </c:dLbls>
        <c:gapWidth val="30"/>
        <c:axId val="383363808"/>
        <c:axId val="383361184"/>
      </c:barChart>
      <c:catAx>
        <c:axId val="3833638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361184"/>
        <c:crosses val="autoZero"/>
        <c:auto val="1"/>
        <c:lblAlgn val="ctr"/>
        <c:lblOffset val="100"/>
        <c:noMultiLvlLbl val="0"/>
      </c:catAx>
      <c:valAx>
        <c:axId val="38336118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8336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solidFill>
                  <a:schemeClr val="accent6">
                    <a:lumMod val="50000"/>
                  </a:schemeClr>
                </a:solidFill>
                <a:latin typeface="Arial" panose="020B0604020202020204" pitchFamily="34" charset="0"/>
                <a:cs typeface="Arial" panose="020B060402020202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5723"/>
          </a:solidFill>
          <a:ln w="19050">
            <a:noFill/>
          </a:ln>
          <a:effectLst/>
        </c:spPr>
      </c:pivotFmt>
      <c:pivotFmt>
        <c:idx val="2"/>
        <c:spPr>
          <a:solidFill>
            <a:srgbClr val="4C7430"/>
          </a:solidFill>
          <a:ln w="19050">
            <a:noFill/>
          </a:ln>
          <a:effectLst/>
        </c:spPr>
      </c:pivotFmt>
      <c:pivotFmt>
        <c:idx val="3"/>
        <c:spPr>
          <a:solidFill>
            <a:srgbClr val="6FAC46"/>
          </a:solidFill>
          <a:ln w="19050">
            <a:noFill/>
          </a:ln>
          <a:effectLst/>
        </c:spPr>
      </c:pivotFmt>
      <c:pivotFmt>
        <c:idx val="4"/>
        <c:spPr>
          <a:solidFill>
            <a:srgbClr val="91C46E"/>
          </a:solidFill>
          <a:ln w="19050">
            <a:noFill/>
          </a:ln>
          <a:effectLst/>
        </c:spPr>
      </c:pivotFmt>
    </c:pivotFmts>
    <c:plotArea>
      <c:layout/>
      <c:pieChart>
        <c:varyColors val="1"/>
        <c:ser>
          <c:idx val="0"/>
          <c:order val="0"/>
          <c:tx>
            <c:strRef>
              <c:f>'Sales by Region'!$B$3</c:f>
              <c:strCache>
                <c:ptCount val="1"/>
                <c:pt idx="0">
                  <c:v>Total</c:v>
                </c:pt>
              </c:strCache>
            </c:strRef>
          </c:tx>
          <c:spPr>
            <a:ln>
              <a:noFill/>
            </a:ln>
          </c:spPr>
          <c:dPt>
            <c:idx val="0"/>
            <c:bubble3D val="0"/>
            <c:spPr>
              <a:solidFill>
                <a:srgbClr val="385723"/>
              </a:solidFill>
              <a:ln w="19050">
                <a:noFill/>
              </a:ln>
              <a:effectLst/>
            </c:spPr>
            <c:extLst>
              <c:ext xmlns:c16="http://schemas.microsoft.com/office/drawing/2014/chart" uri="{C3380CC4-5D6E-409C-BE32-E72D297353CC}">
                <c16:uniqueId val="{00000001-4A82-4573-9BBD-E18B1D7A8B74}"/>
              </c:ext>
            </c:extLst>
          </c:dPt>
          <c:dPt>
            <c:idx val="1"/>
            <c:bubble3D val="0"/>
            <c:spPr>
              <a:solidFill>
                <a:srgbClr val="4C7430"/>
              </a:solidFill>
              <a:ln w="19050">
                <a:noFill/>
              </a:ln>
              <a:effectLst/>
            </c:spPr>
            <c:extLst>
              <c:ext xmlns:c16="http://schemas.microsoft.com/office/drawing/2014/chart" uri="{C3380CC4-5D6E-409C-BE32-E72D297353CC}">
                <c16:uniqueId val="{00000002-4A82-4573-9BBD-E18B1D7A8B74}"/>
              </c:ext>
            </c:extLst>
          </c:dPt>
          <c:dPt>
            <c:idx val="2"/>
            <c:bubble3D val="0"/>
            <c:spPr>
              <a:solidFill>
                <a:srgbClr val="6FAC46"/>
              </a:solidFill>
              <a:ln w="19050">
                <a:noFill/>
              </a:ln>
              <a:effectLst/>
            </c:spPr>
            <c:extLst>
              <c:ext xmlns:c16="http://schemas.microsoft.com/office/drawing/2014/chart" uri="{C3380CC4-5D6E-409C-BE32-E72D297353CC}">
                <c16:uniqueId val="{00000003-4A82-4573-9BBD-E18B1D7A8B74}"/>
              </c:ext>
            </c:extLst>
          </c:dPt>
          <c:dPt>
            <c:idx val="3"/>
            <c:bubble3D val="0"/>
            <c:spPr>
              <a:solidFill>
                <a:srgbClr val="91C46E"/>
              </a:solidFill>
              <a:ln w="19050">
                <a:noFill/>
              </a:ln>
              <a:effectLst/>
            </c:spPr>
            <c:extLst>
              <c:ext xmlns:c16="http://schemas.microsoft.com/office/drawing/2014/chart" uri="{C3380CC4-5D6E-409C-BE32-E72D297353CC}">
                <c16:uniqueId val="{00000004-4A82-4573-9BBD-E18B1D7A8B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00-4A82-4573-9BBD-E18B1D7A8B7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project.xlsx]Sales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Sales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471D"/>
          </a:solidFill>
          <a:ln>
            <a:noFill/>
          </a:ln>
          <a:effectLst/>
        </c:spPr>
      </c:pivotFmt>
      <c:pivotFmt>
        <c:idx val="2"/>
        <c:spPr>
          <a:solidFill>
            <a:srgbClr val="538034"/>
          </a:solidFill>
          <a:ln>
            <a:noFill/>
          </a:ln>
          <a:effectLst/>
        </c:spPr>
      </c:pivotFmt>
      <c:pivotFmt>
        <c:idx val="3"/>
        <c:spPr>
          <a:solidFill>
            <a:srgbClr val="649B3F"/>
          </a:solidFill>
          <a:ln>
            <a:noFill/>
          </a:ln>
          <a:effectLst/>
        </c:spPr>
      </c:pivotFmt>
      <c:pivotFmt>
        <c:idx val="4"/>
        <c:spPr>
          <a:solidFill>
            <a:srgbClr val="7EBA56"/>
          </a:solidFill>
          <a:ln>
            <a:noFill/>
          </a:ln>
          <a:effectLst/>
        </c:spPr>
      </c:pivotFmt>
      <c:pivotFmt>
        <c:idx val="5"/>
        <c:spPr>
          <a:solidFill>
            <a:srgbClr val="AED494"/>
          </a:solidFill>
          <a:ln>
            <a:noFill/>
          </a:ln>
          <a:effectLst/>
        </c:spPr>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dPt>
            <c:idx val="0"/>
            <c:invertIfNegative val="0"/>
            <c:bubble3D val="0"/>
            <c:spPr>
              <a:solidFill>
                <a:srgbClr val="2E471D"/>
              </a:solidFill>
              <a:ln>
                <a:noFill/>
              </a:ln>
              <a:effectLst/>
            </c:spPr>
            <c:extLst>
              <c:ext xmlns:c16="http://schemas.microsoft.com/office/drawing/2014/chart" uri="{C3380CC4-5D6E-409C-BE32-E72D297353CC}">
                <c16:uniqueId val="{00000000-B647-4615-8A65-DE3FC594C265}"/>
              </c:ext>
            </c:extLst>
          </c:dPt>
          <c:dPt>
            <c:idx val="1"/>
            <c:invertIfNegative val="0"/>
            <c:bubble3D val="0"/>
            <c:spPr>
              <a:solidFill>
                <a:srgbClr val="538034"/>
              </a:solidFill>
              <a:ln>
                <a:noFill/>
              </a:ln>
              <a:effectLst/>
            </c:spPr>
            <c:extLst>
              <c:ext xmlns:c16="http://schemas.microsoft.com/office/drawing/2014/chart" uri="{C3380CC4-5D6E-409C-BE32-E72D297353CC}">
                <c16:uniqueId val="{00000001-B647-4615-8A65-DE3FC594C265}"/>
              </c:ext>
            </c:extLst>
          </c:dPt>
          <c:dPt>
            <c:idx val="2"/>
            <c:invertIfNegative val="0"/>
            <c:bubble3D val="0"/>
            <c:spPr>
              <a:solidFill>
                <a:srgbClr val="649B3F"/>
              </a:solidFill>
              <a:ln>
                <a:noFill/>
              </a:ln>
              <a:effectLst/>
            </c:spPr>
            <c:extLst>
              <c:ext xmlns:c16="http://schemas.microsoft.com/office/drawing/2014/chart" uri="{C3380CC4-5D6E-409C-BE32-E72D297353CC}">
                <c16:uniqueId val="{00000002-B647-4615-8A65-DE3FC594C265}"/>
              </c:ext>
            </c:extLst>
          </c:dPt>
          <c:dPt>
            <c:idx val="3"/>
            <c:invertIfNegative val="0"/>
            <c:bubble3D val="0"/>
            <c:spPr>
              <a:solidFill>
                <a:srgbClr val="7EBA56"/>
              </a:solidFill>
              <a:ln>
                <a:noFill/>
              </a:ln>
              <a:effectLst/>
            </c:spPr>
            <c:extLst>
              <c:ext xmlns:c16="http://schemas.microsoft.com/office/drawing/2014/chart" uri="{C3380CC4-5D6E-409C-BE32-E72D297353CC}">
                <c16:uniqueId val="{00000003-B647-4615-8A65-DE3FC594C265}"/>
              </c:ext>
            </c:extLst>
          </c:dPt>
          <c:dPt>
            <c:idx val="4"/>
            <c:invertIfNegative val="0"/>
            <c:bubble3D val="0"/>
            <c:spPr>
              <a:solidFill>
                <a:srgbClr val="AED494"/>
              </a:solidFill>
              <a:ln>
                <a:noFill/>
              </a:ln>
              <a:effectLst/>
            </c:spPr>
            <c:extLst>
              <c:ext xmlns:c16="http://schemas.microsoft.com/office/drawing/2014/chart" uri="{C3380CC4-5D6E-409C-BE32-E72D297353CC}">
                <c16:uniqueId val="{00000004-B647-4615-8A65-DE3FC594C2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category'!$A$4:$A$9</c:f>
              <c:strCache>
                <c:ptCount val="5"/>
                <c:pt idx="0">
                  <c:v>Beverages</c:v>
                </c:pt>
                <c:pt idx="1">
                  <c:v>Sauces</c:v>
                </c:pt>
                <c:pt idx="2">
                  <c:v>Jams, Preserves</c:v>
                </c:pt>
                <c:pt idx="3">
                  <c:v>Dairy Products</c:v>
                </c:pt>
                <c:pt idx="4">
                  <c:v>Dried Fruit &amp; Nuts</c:v>
                </c:pt>
              </c:strCache>
            </c:strRef>
          </c:cat>
          <c:val>
            <c:numRef>
              <c:f>'Sales by category'!$B$4:$B$9</c:f>
              <c:numCache>
                <c:formatCode>"$"#,##0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0-7686-4DF1-A930-3AF7A1469B22}"/>
            </c:ext>
          </c:extLst>
        </c:ser>
        <c:dLbls>
          <c:dLblPos val="outEnd"/>
          <c:showLegendKey val="0"/>
          <c:showVal val="1"/>
          <c:showCatName val="0"/>
          <c:showSerName val="0"/>
          <c:showPercent val="0"/>
          <c:showBubbleSize val="0"/>
        </c:dLbls>
        <c:gapWidth val="29"/>
        <c:overlap val="-27"/>
        <c:axId val="494359752"/>
        <c:axId val="494365656"/>
      </c:barChart>
      <c:catAx>
        <c:axId val="494359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65656"/>
        <c:crosses val="autoZero"/>
        <c:auto val="1"/>
        <c:lblAlgn val="ctr"/>
        <c:lblOffset val="100"/>
        <c:noMultiLvlLbl val="0"/>
      </c:catAx>
      <c:valAx>
        <c:axId val="494365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59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project.xlsx]Top 5 cities by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solidFill>
                  <a:schemeClr val="accent6">
                    <a:lumMod val="50000"/>
                  </a:schemeClr>
                </a:solidFill>
                <a:latin typeface="Arial" panose="020B0604020202020204" pitchFamily="34" charset="0"/>
                <a:cs typeface="Arial" panose="020B0604020202020204" pitchFamily="34" charset="0"/>
              </a:rPr>
              <a:t>Performance</a:t>
            </a:r>
            <a:r>
              <a:rPr lang="en-US" sz="1200" b="0" baseline="0">
                <a:solidFill>
                  <a:schemeClr val="accent6">
                    <a:lumMod val="50000"/>
                  </a:schemeClr>
                </a:solidFill>
                <a:latin typeface="Arial" panose="020B0604020202020204" pitchFamily="34" charset="0"/>
                <a:cs typeface="Arial" panose="020B0604020202020204" pitchFamily="34" charset="0"/>
              </a:rPr>
              <a:t> of cities by revenue</a:t>
            </a:r>
            <a:endParaRPr lang="en-US" sz="1200" b="0">
              <a:solidFill>
                <a:schemeClr val="accent6">
                  <a:lumMod val="50000"/>
                </a:schemeClr>
              </a:solidFill>
              <a:latin typeface="Arial" panose="020B0604020202020204" pitchFamily="34" charset="0"/>
              <a:cs typeface="Arial" panose="020B0604020202020204" pitchFamily="34" charset="0"/>
            </a:endParaRPr>
          </a:p>
        </c:rich>
      </c:tx>
      <c:layout>
        <c:manualLayout>
          <c:xMode val="edge"/>
          <c:yMode val="edge"/>
          <c:x val="0.2830833333333333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0800" dist="50800" dir="5400000" algn="ctr" rotWithShape="0">
              <a:schemeClr val="tx2">
                <a:alpha val="62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50800" dist="50800" dir="5400000" algn="ctr" rotWithShape="0">
              <a:schemeClr val="tx2">
                <a:alpha val="62000"/>
              </a:schemeClr>
            </a:outerShdw>
          </a:effectLst>
        </c:spPr>
        <c:dLbl>
          <c:idx val="0"/>
          <c:layout>
            <c:manualLayout>
              <c:x val="-2.5000000000000001E-2"/>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0800" dist="50800" dir="5400000" algn="ctr" rotWithShape="0">
              <a:schemeClr val="tx2">
                <a:alpha val="62000"/>
              </a:schemeClr>
            </a:outerShdw>
          </a:effectLst>
        </c:spPr>
        <c:dLbl>
          <c:idx val="0"/>
          <c:layout>
            <c:manualLayout>
              <c:x val="0"/>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50800" dist="50800" dir="5400000" algn="ctr" rotWithShape="0">
              <a:schemeClr val="tx2">
                <a:alpha val="62000"/>
              </a:schemeClr>
            </a:outerShdw>
          </a:effectLst>
        </c:spPr>
        <c:dLbl>
          <c:idx val="0"/>
          <c:layout>
            <c:manualLayout>
              <c:x val="-2.7777777777778286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50800" dist="50800" dir="5400000" algn="ctr" rotWithShape="0">
              <a:schemeClr val="tx2">
                <a:alpha val="62000"/>
              </a:schemeClr>
            </a:outerShdw>
          </a:effectLst>
        </c:spPr>
        <c:dLbl>
          <c:idx val="0"/>
          <c:layout>
            <c:manualLayout>
              <c:x val="1.1111111111111059E-2"/>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a:outerShdw blurRad="50800" dist="50800" dir="5400000" algn="ctr" rotWithShape="0">
              <a:schemeClr val="tx2">
                <a:alpha val="62000"/>
              </a:schemeClr>
            </a:outerShdw>
          </a:effectLst>
        </c:spPr>
        <c:dLbl>
          <c:idx val="0"/>
          <c:layout>
            <c:manualLayout>
              <c:x val="1.6666666666666666E-2"/>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5 cities by revenue'!$B$3</c:f>
              <c:strCache>
                <c:ptCount val="1"/>
                <c:pt idx="0">
                  <c:v>Total</c:v>
                </c:pt>
              </c:strCache>
            </c:strRef>
          </c:tx>
          <c:spPr>
            <a:solidFill>
              <a:schemeClr val="accent6">
                <a:lumMod val="50000"/>
              </a:schemeClr>
            </a:solidFill>
            <a:ln>
              <a:noFill/>
            </a:ln>
            <a:effectLst>
              <a:outerShdw blurRad="50800" dist="50800" dir="5400000" algn="ctr" rotWithShape="0">
                <a:schemeClr val="tx2">
                  <a:alpha val="62000"/>
                </a:schemeClr>
              </a:outerShdw>
            </a:effectLst>
          </c:spPr>
          <c:dPt>
            <c:idx val="0"/>
            <c:bubble3D val="0"/>
            <c:extLst>
              <c:ext xmlns:c16="http://schemas.microsoft.com/office/drawing/2014/chart" uri="{C3380CC4-5D6E-409C-BE32-E72D297353CC}">
                <c16:uniqueId val="{00000005-523D-4E7E-A47A-9286CE644F86}"/>
              </c:ext>
            </c:extLst>
          </c:dPt>
          <c:dPt>
            <c:idx val="1"/>
            <c:bubble3D val="0"/>
            <c:extLst>
              <c:ext xmlns:c16="http://schemas.microsoft.com/office/drawing/2014/chart" uri="{C3380CC4-5D6E-409C-BE32-E72D297353CC}">
                <c16:uniqueId val="{00000004-523D-4E7E-A47A-9286CE644F86}"/>
              </c:ext>
            </c:extLst>
          </c:dPt>
          <c:dPt>
            <c:idx val="2"/>
            <c:bubble3D val="0"/>
            <c:extLst>
              <c:ext xmlns:c16="http://schemas.microsoft.com/office/drawing/2014/chart" uri="{C3380CC4-5D6E-409C-BE32-E72D297353CC}">
                <c16:uniqueId val="{00000003-523D-4E7E-A47A-9286CE644F86}"/>
              </c:ext>
            </c:extLst>
          </c:dPt>
          <c:dPt>
            <c:idx val="3"/>
            <c:bubble3D val="0"/>
            <c:extLst>
              <c:ext xmlns:c16="http://schemas.microsoft.com/office/drawing/2014/chart" uri="{C3380CC4-5D6E-409C-BE32-E72D297353CC}">
                <c16:uniqueId val="{00000002-523D-4E7E-A47A-9286CE644F86}"/>
              </c:ext>
            </c:extLst>
          </c:dPt>
          <c:dPt>
            <c:idx val="4"/>
            <c:bubble3D val="0"/>
            <c:extLst>
              <c:ext xmlns:c16="http://schemas.microsoft.com/office/drawing/2014/chart" uri="{C3380CC4-5D6E-409C-BE32-E72D297353CC}">
                <c16:uniqueId val="{00000001-523D-4E7E-A47A-9286CE644F86}"/>
              </c:ext>
            </c:extLst>
          </c:dPt>
          <c:dLbls>
            <c:dLbl>
              <c:idx val="0"/>
              <c:layout>
                <c:manualLayout>
                  <c:x val="1.6666666666666666E-2"/>
                  <c:y val="-0.291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3D-4E7E-A47A-9286CE644F86}"/>
                </c:ext>
              </c:extLst>
            </c:dLbl>
            <c:dLbl>
              <c:idx val="1"/>
              <c:layout>
                <c:manualLayout>
                  <c:x val="1.1111111111111059E-2"/>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3D-4E7E-A47A-9286CE644F86}"/>
                </c:ext>
              </c:extLst>
            </c:dLbl>
            <c:dLbl>
              <c:idx val="2"/>
              <c:layout>
                <c:manualLayout>
                  <c:x val="-2.7777777777778286E-3"/>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3D-4E7E-A47A-9286CE644F86}"/>
                </c:ext>
              </c:extLst>
            </c:dLbl>
            <c:dLbl>
              <c:idx val="3"/>
              <c:layout>
                <c:manualLayout>
                  <c:x val="0"/>
                  <c:y val="-0.347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3D-4E7E-A47A-9286CE644F86}"/>
                </c:ext>
              </c:extLst>
            </c:dLbl>
            <c:dLbl>
              <c:idx val="4"/>
              <c:layout>
                <c:manualLayout>
                  <c:x val="-2.5000000000000001E-2"/>
                  <c:y val="-0.33333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3D-4E7E-A47A-9286CE644F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Chicago</c:v>
                </c:pt>
                <c:pt idx="1">
                  <c:v>Memphis</c:v>
                </c:pt>
                <c:pt idx="2">
                  <c:v>Miami</c:v>
                </c:pt>
                <c:pt idx="3">
                  <c:v>New York</c:v>
                </c:pt>
                <c:pt idx="4">
                  <c:v>Portland</c:v>
                </c:pt>
              </c:strCache>
            </c:strRef>
          </c:cat>
          <c:val>
            <c:numRef>
              <c:f>'Top 5 cities by revenue'!$B$4:$B$9</c:f>
              <c:numCache>
                <c:formatCode>"$"#,##0</c:formatCode>
                <c:ptCount val="5"/>
                <c:pt idx="0">
                  <c:v>41095.01</c:v>
                </c:pt>
                <c:pt idx="1">
                  <c:v>43713</c:v>
                </c:pt>
                <c:pt idx="2">
                  <c:v>50145.330000000009</c:v>
                </c:pt>
                <c:pt idx="3">
                  <c:v>67180.5</c:v>
                </c:pt>
                <c:pt idx="4">
                  <c:v>50208.35</c:v>
                </c:pt>
              </c:numCache>
            </c:numRef>
          </c:val>
          <c:extLst>
            <c:ext xmlns:c16="http://schemas.microsoft.com/office/drawing/2014/chart" uri="{C3380CC4-5D6E-409C-BE32-E72D297353CC}">
              <c16:uniqueId val="{00000000-523D-4E7E-A47A-9286CE644F86}"/>
            </c:ext>
          </c:extLst>
        </c:ser>
        <c:dLbls>
          <c:showLegendKey val="0"/>
          <c:showVal val="1"/>
          <c:showCatName val="0"/>
          <c:showSerName val="0"/>
          <c:showPercent val="0"/>
          <c:showBubbleSize val="0"/>
        </c:dLbls>
        <c:axId val="374453848"/>
        <c:axId val="374463688"/>
      </c:areaChart>
      <c:catAx>
        <c:axId val="374453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63688"/>
        <c:crosses val="autoZero"/>
        <c:auto val="1"/>
        <c:lblAlgn val="ctr"/>
        <c:lblOffset val="100"/>
        <c:noMultiLvlLbl val="0"/>
      </c:catAx>
      <c:valAx>
        <c:axId val="37446368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744538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project.xlsx]Transaction by amount!PivotTable1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6">
                    <a:lumMod val="50000"/>
                  </a:schemeClr>
                </a:solidFill>
                <a:latin typeface="Arial" panose="020B0604020202020204" pitchFamily="34" charset="0"/>
                <a:cs typeface="Arial" panose="020B0604020202020204" pitchFamily="34" charset="0"/>
              </a:rPr>
              <a:t>Transaction by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50000"/>
            </a:schemeClr>
          </a:solidFill>
          <a:ln>
            <a:noFill/>
          </a:ln>
          <a:effectLst/>
        </c:spPr>
      </c:pivotFmt>
      <c:pivotFmt>
        <c:idx val="4"/>
        <c:spPr>
          <a:solidFill>
            <a:schemeClr val="accent6">
              <a:lumMod val="50000"/>
            </a:schemeClr>
          </a:solidFill>
          <a:ln>
            <a:noFill/>
          </a:ln>
          <a:effectLst/>
        </c:spPr>
      </c:pivotFmt>
      <c:pivotFmt>
        <c:idx val="5"/>
        <c:spPr>
          <a:solidFill>
            <a:schemeClr val="accent6">
              <a:lumMod val="50000"/>
            </a:schemeClr>
          </a:solidFill>
          <a:ln>
            <a:noFill/>
          </a:ln>
          <a:effectLst/>
        </c:spPr>
      </c:pivotFmt>
      <c:pivotFmt>
        <c:idx val="6"/>
        <c:spPr>
          <a:solidFill>
            <a:schemeClr val="accent6">
              <a:lumMod val="50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0-6ADF-4356-9D36-09A6D9E1253C}"/>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1-6ADF-4356-9D36-09A6D9E1253C}"/>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2-6ADF-4356-9D36-09A6D9E1253C}"/>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3-6ADF-4356-9D36-09A6D9E1253C}"/>
              </c:ext>
            </c:extLst>
          </c:dPt>
          <c:dPt>
            <c:idx val="5"/>
            <c:invertIfNegative val="0"/>
            <c:bubble3D val="0"/>
            <c:spPr>
              <a:solidFill>
                <a:schemeClr val="accent6">
                  <a:lumMod val="50000"/>
                </a:schemeClr>
              </a:solidFill>
              <a:ln>
                <a:noFill/>
              </a:ln>
              <a:effectLst/>
            </c:spPr>
            <c:extLst>
              <c:ext xmlns:c16="http://schemas.microsoft.com/office/drawing/2014/chart" uri="{C3380CC4-5D6E-409C-BE32-E72D297353CC}">
                <c16:uniqueId val="{00000004-6ADF-4356-9D36-09A6D9E1253C}"/>
              </c:ext>
            </c:extLst>
          </c:dPt>
          <c:dPt>
            <c:idx val="6"/>
            <c:invertIfNegative val="0"/>
            <c:bubble3D val="0"/>
            <c:spPr>
              <a:solidFill>
                <a:schemeClr val="accent6">
                  <a:lumMod val="50000"/>
                </a:schemeClr>
              </a:solidFill>
              <a:ln>
                <a:noFill/>
              </a:ln>
              <a:effectLst/>
            </c:spPr>
            <c:extLst>
              <c:ext xmlns:c16="http://schemas.microsoft.com/office/drawing/2014/chart" uri="{C3380CC4-5D6E-409C-BE32-E72D297353CC}">
                <c16:uniqueId val="{00000005-6ADF-4356-9D36-09A6D9E125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0</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0-A961-45A8-80AF-0621979A1E06}"/>
            </c:ext>
          </c:extLst>
        </c:ser>
        <c:dLbls>
          <c:dLblPos val="outEnd"/>
          <c:showLegendKey val="0"/>
          <c:showVal val="1"/>
          <c:showCatName val="0"/>
          <c:showSerName val="0"/>
          <c:showPercent val="0"/>
          <c:showBubbleSize val="0"/>
        </c:dLbls>
        <c:gapWidth val="35"/>
        <c:overlap val="-27"/>
        <c:axId val="489286504"/>
        <c:axId val="489278632"/>
      </c:barChart>
      <c:catAx>
        <c:axId val="489286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78632"/>
        <c:crosses val="autoZero"/>
        <c:auto val="1"/>
        <c:lblAlgn val="ctr"/>
        <c:lblOffset val="100"/>
        <c:noMultiLvlLbl val="0"/>
      </c:catAx>
      <c:valAx>
        <c:axId val="48927863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489286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24D1F"/>
                </a:solidFill>
                <a:latin typeface="Arial" panose="020B0604020202020204" pitchFamily="34" charset="0"/>
                <a:cs typeface="Arial" panose="020B0604020202020204" pitchFamily="34" charset="0"/>
              </a:rPr>
              <a:t>Sales Trend Report </a:t>
            </a:r>
            <a:r>
              <a:rPr lang="en-US" sz="900" b="1" i="1">
                <a:solidFill>
                  <a:srgbClr val="324D1F"/>
                </a:solidFill>
                <a:latin typeface="Arial" panose="020B0604020202020204" pitchFamily="34" charset="0"/>
                <a:cs typeface="Arial" panose="020B0604020202020204" pitchFamily="34" charset="0"/>
              </a:rPr>
              <a:t>for</a:t>
            </a:r>
            <a:r>
              <a:rPr lang="en-US" sz="900" b="1" i="1" baseline="0">
                <a:solidFill>
                  <a:srgbClr val="324D1F"/>
                </a:solidFill>
                <a:latin typeface="Arial" panose="020B0604020202020204" pitchFamily="34" charset="0"/>
                <a:cs typeface="Arial" panose="020B0604020202020204" pitchFamily="34" charset="0"/>
              </a:rPr>
              <a:t> </a:t>
            </a:r>
            <a:r>
              <a:rPr lang="en-US" sz="900" b="1" i="1">
                <a:solidFill>
                  <a:srgbClr val="324D1F"/>
                </a:solidFill>
                <a:latin typeface="Arial" panose="020B0604020202020204" pitchFamily="34" charset="0"/>
                <a:cs typeface="Arial" panose="020B0604020202020204" pitchFamily="34" charset="0"/>
              </a:rPr>
              <a:t>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5357320"/>
        <c:crosses val="autoZero"/>
        <c:crossBetween val="between"/>
      </c:valAx>
    </c:plotArea>
    <c:plotVisOnly val="1"/>
    <c:dispBlanksAs val="gap"/>
    <c:showDLblsOverMax val="0"/>
    <c:extLst/>
  </c:chart>
  <c:spPr>
    <a:solidFill>
      <a:schemeClr val="bg1">
        <a:lumMod val="85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53519009668086E-3"/>
          <c:y val="0.2721385826771654"/>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1"/>
        <c:axPos val="b"/>
        <c:numFmt formatCode="General" sourceLinked="1"/>
        <c:majorTickMark val="out"/>
        <c:minorTickMark val="none"/>
        <c:tickLblPos val="nextTo"/>
        <c:crossAx val="455357648"/>
        <c:crosses val="autoZero"/>
        <c:auto val="1"/>
        <c:lblAlgn val="ctr"/>
        <c:lblOffset val="100"/>
        <c:noMultiLvlLbl val="0"/>
      </c:catAx>
      <c:valAx>
        <c:axId val="455357648"/>
        <c:scaling>
          <c:orientation val="minMax"/>
        </c:scaling>
        <c:delete val="1"/>
        <c:axPos val="l"/>
        <c:numFmt formatCode="General" sourceLinked="1"/>
        <c:majorTickMark val="out"/>
        <c:minorTickMark val="none"/>
        <c:tickLblPos val="nextTo"/>
        <c:crossAx val="455357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project.xlsx]Sales by Rep!PivotTable1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324D1F"/>
                </a:solidFill>
                <a:latin typeface="Arial" panose="020B0604020202020204" pitchFamily="34" charset="0"/>
                <a:cs typeface="Arial" panose="020B0604020202020204" pitchFamily="34" charset="0"/>
              </a:rPr>
              <a:t>Salesperson Outlook</a:t>
            </a:r>
            <a:r>
              <a:rPr lang="en-US" sz="2000" b="1" baseline="0">
                <a:solidFill>
                  <a:srgbClr val="324D1F"/>
                </a:solidFill>
                <a:latin typeface="Arial" panose="020B0604020202020204" pitchFamily="34" charset="0"/>
                <a:cs typeface="Arial" panose="020B0604020202020204" pitchFamily="34" charset="0"/>
              </a:rPr>
              <a:t> </a:t>
            </a:r>
            <a:r>
              <a:rPr lang="en-US" sz="1400" b="1" i="1" baseline="0">
                <a:solidFill>
                  <a:srgbClr val="324D1F"/>
                </a:solidFill>
                <a:latin typeface="Arial" panose="020B0604020202020204" pitchFamily="34" charset="0"/>
                <a:cs typeface="Arial" panose="020B0604020202020204" pitchFamily="34" charset="0"/>
              </a:rPr>
              <a:t>by Revenue</a:t>
            </a:r>
            <a:endParaRPr lang="en-US" sz="1400" b="1" i="1">
              <a:solidFill>
                <a:srgbClr val="324D1F"/>
              </a:solidFill>
              <a:latin typeface="Arial" panose="020B0604020202020204" pitchFamily="34" charset="0"/>
              <a:cs typeface="Arial" panose="020B0604020202020204" pitchFamily="34" charset="0"/>
            </a:endParaRPr>
          </a:p>
        </c:rich>
      </c:tx>
      <c:layout>
        <c:manualLayout>
          <c:xMode val="edge"/>
          <c:yMode val="edge"/>
          <c:x val="8.9008811088474915E-2"/>
          <c:y val="3.8338578425354507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70C0"/>
          </a:solidFill>
          <a:ln>
            <a:noFill/>
          </a:ln>
          <a:effectLst/>
        </c:spPr>
      </c:pivotFmt>
      <c:pivotFmt>
        <c:idx val="3"/>
        <c:spPr>
          <a:solidFill>
            <a:srgbClr val="0070C0"/>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pivotFmt>
      <c:pivotFmt>
        <c:idx val="11"/>
        <c:spPr>
          <a:solidFill>
            <a:srgbClr val="0070C0"/>
          </a:solidFill>
          <a:ln>
            <a:noFill/>
          </a:ln>
          <a:effectLst/>
        </c:spPr>
      </c:pivotFmt>
      <c:pivotFmt>
        <c:idx val="12"/>
        <c:spPr>
          <a:solidFill>
            <a:srgbClr val="0070C0"/>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24D1F"/>
          </a:solidFill>
          <a:ln>
            <a:solidFill>
              <a:srgbClr val="324D1F"/>
            </a:solidFill>
          </a:ln>
          <a:effectLst/>
        </c:spPr>
      </c:pivotFmt>
      <c:pivotFmt>
        <c:idx val="20"/>
        <c:spPr>
          <a:solidFill>
            <a:srgbClr val="517E32"/>
          </a:solidFill>
          <a:ln>
            <a:noFill/>
          </a:ln>
          <a:effectLst/>
        </c:spPr>
      </c:pivotFmt>
      <c:pivotFmt>
        <c:idx val="21"/>
        <c:spPr>
          <a:solidFill>
            <a:srgbClr val="558335"/>
          </a:solidFill>
          <a:ln>
            <a:noFill/>
          </a:ln>
          <a:effectLst/>
        </c:spPr>
      </c:pivotFmt>
      <c:pivotFmt>
        <c:idx val="22"/>
        <c:spPr>
          <a:solidFill>
            <a:srgbClr val="76B749"/>
          </a:solidFill>
          <a:ln>
            <a:noFill/>
          </a:ln>
          <a:effectLst/>
        </c:spPr>
      </c:pivotFmt>
      <c:pivotFmt>
        <c:idx val="23"/>
        <c:spPr>
          <a:solidFill>
            <a:srgbClr val="80BC58"/>
          </a:solidFill>
          <a:ln>
            <a:noFill/>
          </a:ln>
          <a:effectLst/>
        </c:spPr>
      </c:pivotFmt>
      <c:pivotFmt>
        <c:idx val="24"/>
        <c:spPr>
          <a:solidFill>
            <a:srgbClr val="A8D08C"/>
          </a:solidFill>
          <a:ln>
            <a:noFill/>
          </a:ln>
          <a:effectLst/>
        </c:spPr>
      </c:pivotFmt>
      <c:pivotFmt>
        <c:idx val="25"/>
        <c:spPr>
          <a:solidFill>
            <a:srgbClr val="BFDDAB"/>
          </a:solidFill>
          <a:ln>
            <a:noFill/>
          </a:ln>
          <a:effectLst/>
        </c:spPr>
      </c:pivotFmt>
      <c:pivotFmt>
        <c:idx val="26"/>
        <c:spPr>
          <a:solidFill>
            <a:srgbClr val="D2E7C3"/>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324D1F"/>
          </a:solidFill>
          <a:ln>
            <a:solidFill>
              <a:srgbClr val="324D1F"/>
            </a:solidFill>
          </a:ln>
          <a:effectLst/>
        </c:spPr>
      </c:pivotFmt>
      <c:pivotFmt>
        <c:idx val="29"/>
        <c:spPr>
          <a:solidFill>
            <a:srgbClr val="517E32"/>
          </a:solidFill>
          <a:ln>
            <a:noFill/>
          </a:ln>
          <a:effectLst/>
        </c:spPr>
      </c:pivotFmt>
      <c:pivotFmt>
        <c:idx val="30"/>
        <c:spPr>
          <a:solidFill>
            <a:srgbClr val="558335"/>
          </a:solidFill>
          <a:ln>
            <a:noFill/>
          </a:ln>
          <a:effectLst/>
        </c:spPr>
      </c:pivotFmt>
      <c:pivotFmt>
        <c:idx val="31"/>
        <c:spPr>
          <a:solidFill>
            <a:srgbClr val="76B749"/>
          </a:solidFill>
          <a:ln>
            <a:noFill/>
          </a:ln>
          <a:effectLst/>
        </c:spPr>
      </c:pivotFmt>
      <c:pivotFmt>
        <c:idx val="32"/>
        <c:spPr>
          <a:solidFill>
            <a:srgbClr val="80BC58"/>
          </a:solidFill>
          <a:ln>
            <a:noFill/>
          </a:ln>
          <a:effectLst/>
        </c:spPr>
      </c:pivotFmt>
      <c:pivotFmt>
        <c:idx val="33"/>
        <c:spPr>
          <a:solidFill>
            <a:srgbClr val="A8D08C"/>
          </a:solidFill>
          <a:ln>
            <a:noFill/>
          </a:ln>
          <a:effectLst/>
        </c:spPr>
      </c:pivotFmt>
      <c:pivotFmt>
        <c:idx val="34"/>
        <c:spPr>
          <a:solidFill>
            <a:srgbClr val="BFDDAB"/>
          </a:solidFill>
          <a:ln>
            <a:noFill/>
          </a:ln>
          <a:effectLst/>
        </c:spPr>
      </c:pivotFmt>
      <c:pivotFmt>
        <c:idx val="35"/>
        <c:spPr>
          <a:solidFill>
            <a:srgbClr val="D2E7C3"/>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324D1F"/>
          </a:solidFill>
          <a:ln>
            <a:solidFill>
              <a:srgbClr val="324D1F"/>
            </a:solidFill>
          </a:ln>
          <a:effectLst/>
        </c:spPr>
      </c:pivotFmt>
      <c:pivotFmt>
        <c:idx val="38"/>
        <c:spPr>
          <a:solidFill>
            <a:srgbClr val="517E32"/>
          </a:solidFill>
          <a:ln>
            <a:noFill/>
          </a:ln>
          <a:effectLst/>
        </c:spPr>
      </c:pivotFmt>
      <c:pivotFmt>
        <c:idx val="39"/>
        <c:spPr>
          <a:solidFill>
            <a:srgbClr val="558335"/>
          </a:solidFill>
          <a:ln>
            <a:noFill/>
          </a:ln>
          <a:effectLst/>
        </c:spPr>
      </c:pivotFmt>
      <c:pivotFmt>
        <c:idx val="40"/>
        <c:spPr>
          <a:solidFill>
            <a:srgbClr val="76B749"/>
          </a:solidFill>
          <a:ln>
            <a:noFill/>
          </a:ln>
          <a:effectLst/>
        </c:spPr>
      </c:pivotFmt>
      <c:pivotFmt>
        <c:idx val="41"/>
        <c:spPr>
          <a:solidFill>
            <a:srgbClr val="80BC58"/>
          </a:solidFill>
          <a:ln>
            <a:noFill/>
          </a:ln>
          <a:effectLst/>
        </c:spPr>
      </c:pivotFmt>
      <c:pivotFmt>
        <c:idx val="42"/>
        <c:spPr>
          <a:solidFill>
            <a:srgbClr val="A8D08C"/>
          </a:solidFill>
          <a:ln>
            <a:noFill/>
          </a:ln>
          <a:effectLst/>
        </c:spPr>
      </c:pivotFmt>
      <c:pivotFmt>
        <c:idx val="43"/>
        <c:spPr>
          <a:solidFill>
            <a:srgbClr val="BFDDAB"/>
          </a:solidFill>
          <a:ln>
            <a:noFill/>
          </a:ln>
          <a:effectLst/>
        </c:spPr>
      </c:pivotFmt>
      <c:pivotFmt>
        <c:idx val="44"/>
        <c:spPr>
          <a:solidFill>
            <a:srgbClr val="D2E7C3"/>
          </a:solidFill>
          <a:ln>
            <a:noFill/>
          </a:ln>
          <a:effectLst/>
        </c:spP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335020"/>
          </a:solidFill>
          <a:ln>
            <a:noFill/>
          </a:ln>
          <a:effectLst/>
        </c:spPr>
      </c:pivotFmt>
      <c:pivotFmt>
        <c:idx val="47"/>
        <c:spPr>
          <a:solidFill>
            <a:srgbClr val="456B2B"/>
          </a:solidFill>
          <a:ln>
            <a:noFill/>
          </a:ln>
          <a:effectLst/>
        </c:spPr>
      </c:pivotFmt>
      <c:pivotFmt>
        <c:idx val="48"/>
        <c:spPr>
          <a:solidFill>
            <a:srgbClr val="517D33"/>
          </a:solidFill>
          <a:ln>
            <a:noFill/>
          </a:ln>
          <a:effectLst/>
        </c:spPr>
      </c:pivotFmt>
      <c:pivotFmt>
        <c:idx val="49"/>
        <c:spPr>
          <a:solidFill>
            <a:srgbClr val="6BA743"/>
          </a:solidFill>
          <a:ln>
            <a:noFill/>
          </a:ln>
          <a:effectLst/>
        </c:spPr>
      </c:pivotFmt>
      <c:pivotFmt>
        <c:idx val="50"/>
        <c:spPr>
          <a:solidFill>
            <a:srgbClr val="7AB94F"/>
          </a:solidFill>
          <a:ln>
            <a:noFill/>
          </a:ln>
          <a:effectLst/>
        </c:spPr>
      </c:pivotFmt>
      <c:pivotFmt>
        <c:idx val="51"/>
        <c:spPr>
          <a:solidFill>
            <a:srgbClr val="A2CD85"/>
          </a:solidFill>
          <a:ln>
            <a:noFill/>
          </a:ln>
          <a:effectLst/>
        </c:spPr>
      </c:pivotFmt>
      <c:pivotFmt>
        <c:idx val="52"/>
        <c:spPr>
          <a:solidFill>
            <a:srgbClr val="C0DEAC"/>
          </a:solidFill>
          <a:ln>
            <a:noFill/>
          </a:ln>
          <a:effectLst/>
        </c:spPr>
      </c:pivotFmt>
      <c:pivotFmt>
        <c:idx val="53"/>
        <c:spPr>
          <a:solidFill>
            <a:srgbClr val="D6E9C9"/>
          </a:solidFill>
          <a:ln>
            <a:noFill/>
          </a:ln>
          <a:effectLst/>
        </c:spPr>
      </c:pivotFmt>
    </c:pivotFmts>
    <c:plotArea>
      <c:layout/>
      <c:barChart>
        <c:barDir val="bar"/>
        <c:grouping val="clustered"/>
        <c:varyColors val="0"/>
        <c:ser>
          <c:idx val="0"/>
          <c:order val="0"/>
          <c:tx>
            <c:strRef>
              <c:f>'Sales by Rep'!$B$3</c:f>
              <c:strCache>
                <c:ptCount val="1"/>
                <c:pt idx="0">
                  <c:v>Total</c:v>
                </c:pt>
              </c:strCache>
            </c:strRef>
          </c:tx>
          <c:spPr>
            <a:solidFill>
              <a:schemeClr val="accent1"/>
            </a:solidFill>
            <a:ln>
              <a:noFill/>
            </a:ln>
            <a:effectLst/>
          </c:spPr>
          <c:invertIfNegative val="0"/>
          <c:dPt>
            <c:idx val="0"/>
            <c:invertIfNegative val="0"/>
            <c:bubble3D val="0"/>
            <c:spPr>
              <a:solidFill>
                <a:srgbClr val="335020"/>
              </a:solidFill>
              <a:ln>
                <a:noFill/>
              </a:ln>
              <a:effectLst/>
            </c:spPr>
            <c:extLst>
              <c:ext xmlns:c16="http://schemas.microsoft.com/office/drawing/2014/chart" uri="{C3380CC4-5D6E-409C-BE32-E72D297353CC}">
                <c16:uniqueId val="{00000001-4CF4-4CF5-93DC-02259409815D}"/>
              </c:ext>
            </c:extLst>
          </c:dPt>
          <c:dPt>
            <c:idx val="1"/>
            <c:invertIfNegative val="0"/>
            <c:bubble3D val="0"/>
            <c:spPr>
              <a:solidFill>
                <a:srgbClr val="456B2B"/>
              </a:solidFill>
              <a:ln>
                <a:noFill/>
              </a:ln>
              <a:effectLst/>
            </c:spPr>
            <c:extLst>
              <c:ext xmlns:c16="http://schemas.microsoft.com/office/drawing/2014/chart" uri="{C3380CC4-5D6E-409C-BE32-E72D297353CC}">
                <c16:uniqueId val="{00000003-4CF4-4CF5-93DC-02259409815D}"/>
              </c:ext>
            </c:extLst>
          </c:dPt>
          <c:dPt>
            <c:idx val="2"/>
            <c:invertIfNegative val="0"/>
            <c:bubble3D val="0"/>
            <c:spPr>
              <a:solidFill>
                <a:srgbClr val="517D33"/>
              </a:solidFill>
              <a:ln>
                <a:noFill/>
              </a:ln>
              <a:effectLst/>
            </c:spPr>
            <c:extLst>
              <c:ext xmlns:c16="http://schemas.microsoft.com/office/drawing/2014/chart" uri="{C3380CC4-5D6E-409C-BE32-E72D297353CC}">
                <c16:uniqueId val="{00000005-4CF4-4CF5-93DC-02259409815D}"/>
              </c:ext>
            </c:extLst>
          </c:dPt>
          <c:dPt>
            <c:idx val="3"/>
            <c:invertIfNegative val="0"/>
            <c:bubble3D val="0"/>
            <c:spPr>
              <a:solidFill>
                <a:srgbClr val="6BA743"/>
              </a:solidFill>
              <a:ln>
                <a:noFill/>
              </a:ln>
              <a:effectLst/>
            </c:spPr>
            <c:extLst>
              <c:ext xmlns:c16="http://schemas.microsoft.com/office/drawing/2014/chart" uri="{C3380CC4-5D6E-409C-BE32-E72D297353CC}">
                <c16:uniqueId val="{00000007-4CF4-4CF5-93DC-02259409815D}"/>
              </c:ext>
            </c:extLst>
          </c:dPt>
          <c:dPt>
            <c:idx val="4"/>
            <c:invertIfNegative val="0"/>
            <c:bubble3D val="0"/>
            <c:spPr>
              <a:solidFill>
                <a:srgbClr val="7AB94F"/>
              </a:solidFill>
              <a:ln>
                <a:noFill/>
              </a:ln>
              <a:effectLst/>
            </c:spPr>
            <c:extLst>
              <c:ext xmlns:c16="http://schemas.microsoft.com/office/drawing/2014/chart" uri="{C3380CC4-5D6E-409C-BE32-E72D297353CC}">
                <c16:uniqueId val="{00000009-4CF4-4CF5-93DC-02259409815D}"/>
              </c:ext>
            </c:extLst>
          </c:dPt>
          <c:dPt>
            <c:idx val="5"/>
            <c:invertIfNegative val="0"/>
            <c:bubble3D val="0"/>
            <c:spPr>
              <a:solidFill>
                <a:srgbClr val="A2CD85"/>
              </a:solidFill>
              <a:ln>
                <a:noFill/>
              </a:ln>
              <a:effectLst/>
            </c:spPr>
            <c:extLst>
              <c:ext xmlns:c16="http://schemas.microsoft.com/office/drawing/2014/chart" uri="{C3380CC4-5D6E-409C-BE32-E72D297353CC}">
                <c16:uniqueId val="{0000000B-4CF4-4CF5-93DC-02259409815D}"/>
              </c:ext>
            </c:extLst>
          </c:dPt>
          <c:dPt>
            <c:idx val="6"/>
            <c:invertIfNegative val="0"/>
            <c:bubble3D val="0"/>
            <c:spPr>
              <a:solidFill>
                <a:srgbClr val="C0DEAC"/>
              </a:solidFill>
              <a:ln>
                <a:noFill/>
              </a:ln>
              <a:effectLst/>
            </c:spPr>
            <c:extLst>
              <c:ext xmlns:c16="http://schemas.microsoft.com/office/drawing/2014/chart" uri="{C3380CC4-5D6E-409C-BE32-E72D297353CC}">
                <c16:uniqueId val="{0000000D-4CF4-4CF5-93DC-02259409815D}"/>
              </c:ext>
            </c:extLst>
          </c:dPt>
          <c:dPt>
            <c:idx val="7"/>
            <c:invertIfNegative val="0"/>
            <c:bubble3D val="0"/>
            <c:spPr>
              <a:solidFill>
                <a:srgbClr val="D6E9C9"/>
              </a:solidFill>
              <a:ln>
                <a:noFill/>
              </a:ln>
              <a:effectLst/>
            </c:spPr>
            <c:extLst>
              <c:ext xmlns:c16="http://schemas.microsoft.com/office/drawing/2014/chart" uri="{C3380CC4-5D6E-409C-BE32-E72D297353CC}">
                <c16:uniqueId val="{0000000F-4CF4-4CF5-93DC-02259409815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Rep'!$B$4:$B$12</c:f>
              <c:numCache>
                <c:formatCode>"$"#,##0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10-4CF4-4CF5-93DC-02259409815D}"/>
            </c:ext>
          </c:extLst>
        </c:ser>
        <c:dLbls>
          <c:dLblPos val="outEnd"/>
          <c:showLegendKey val="0"/>
          <c:showVal val="1"/>
          <c:showCatName val="0"/>
          <c:showSerName val="0"/>
          <c:showPercent val="0"/>
          <c:showBubbleSize val="0"/>
        </c:dLbls>
        <c:gapWidth val="30"/>
        <c:axId val="383363808"/>
        <c:axId val="383361184"/>
      </c:barChart>
      <c:catAx>
        <c:axId val="3833638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3361184"/>
        <c:crosses val="autoZero"/>
        <c:auto val="1"/>
        <c:lblAlgn val="ctr"/>
        <c:lblOffset val="100"/>
        <c:noMultiLvlLbl val="0"/>
      </c:catAx>
      <c:valAx>
        <c:axId val="38336118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83363808"/>
        <c:crosses val="autoZero"/>
        <c:crossBetween val="between"/>
      </c:valAx>
    </c:plotArea>
    <c:legend>
      <c:legendPos val="r"/>
      <c:layout>
        <c:manualLayout>
          <c:xMode val="edge"/>
          <c:yMode val="edge"/>
          <c:x val="0.7296905368611748"/>
          <c:y val="0.28373502453864652"/>
          <c:w val="0.25949517721165982"/>
          <c:h val="0.65224790370989205"/>
        </c:manualLayout>
      </c:layout>
      <c:overlay val="0"/>
      <c:txPr>
        <a:bodyPr/>
        <a:lstStyle/>
        <a:p>
          <a:pPr>
            <a:defRPr sz="1100" baseline="0"/>
          </a:pPr>
          <a:endParaRPr lang="en-US"/>
        </a:p>
      </c:txPr>
    </c:legend>
    <c:plotVisOnly val="1"/>
    <c:dispBlanksAs val="gap"/>
    <c:showDLblsOverMax val="0"/>
    <c:extLst/>
  </c:chart>
  <c:spPr>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project.xlsx]Sales by Region!PivotTable2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324D1F"/>
                </a:solidFill>
                <a:latin typeface="Arial" panose="020B0604020202020204" pitchFamily="34" charset="0"/>
                <a:cs typeface="Arial" panose="020B0604020202020204" pitchFamily="34" charset="0"/>
              </a:rPr>
              <a:t>Regional Sales Performance </a:t>
            </a:r>
            <a:r>
              <a:rPr lang="en-US" sz="1400" b="1" i="1">
                <a:solidFill>
                  <a:srgbClr val="324D1F"/>
                </a:solidFill>
                <a:latin typeface="Arial" panose="020B0604020202020204" pitchFamily="34" charset="0"/>
                <a:cs typeface="Arial" panose="020B0604020202020204" pitchFamily="34" charset="0"/>
              </a:rPr>
              <a:t>by Revenue</a:t>
            </a:r>
          </a:p>
        </c:rich>
      </c:tx>
      <c:layout>
        <c:manualLayout>
          <c:xMode val="edge"/>
          <c:yMode val="edge"/>
          <c:x val="2.484350393700788E-2"/>
          <c:y val="2.2857142857142857E-2"/>
        </c:manualLayout>
      </c:layout>
      <c:overlay val="0"/>
      <c:spPr>
        <a:noFill/>
        <a:ln>
          <a:noFill/>
        </a:ln>
        <a:effectLst/>
      </c:spPr>
    </c:title>
    <c:autoTitleDeleted val="0"/>
    <c:pivotFmts>
      <c:pivotFmt>
        <c:idx val="0"/>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2060"/>
          </a:solidFill>
          <a:ln w="19050">
            <a:noFill/>
          </a:ln>
          <a:effectLst/>
        </c:spPr>
      </c:pivotFmt>
      <c:pivotFmt>
        <c:idx val="2"/>
        <c:spPr>
          <a:solidFill>
            <a:srgbClr val="0070C0"/>
          </a:solidFill>
          <a:ln w="19050">
            <a:noFill/>
          </a:ln>
          <a:effectLst/>
        </c:spPr>
      </c:pivotFmt>
      <c:pivotFmt>
        <c:idx val="3"/>
        <c:spPr>
          <a:solidFill>
            <a:schemeClr val="accent5">
              <a:lumMod val="60000"/>
              <a:lumOff val="40000"/>
            </a:schemeClr>
          </a:solidFill>
          <a:ln w="19050">
            <a:noFill/>
          </a:ln>
          <a:effectLst/>
        </c:spPr>
      </c:pivotFmt>
      <c:pivotFmt>
        <c:idx val="4"/>
        <c:spPr>
          <a:solidFill>
            <a:schemeClr val="accent5">
              <a:lumMod val="40000"/>
              <a:lumOff val="60000"/>
            </a:schemeClr>
          </a:solidFill>
          <a:ln w="19050">
            <a:noFill/>
          </a:ln>
          <a:effectLst/>
        </c:spPr>
      </c:pivotFmt>
      <c:pivotFmt>
        <c:idx val="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002060"/>
          </a:solidFill>
          <a:ln w="19050">
            <a:noFill/>
          </a:ln>
          <a:effectLst/>
        </c:spPr>
      </c:pivotFmt>
      <c:pivotFmt>
        <c:idx val="7"/>
        <c:spPr>
          <a:solidFill>
            <a:srgbClr val="0070C0"/>
          </a:solidFill>
          <a:ln w="19050">
            <a:noFill/>
          </a:ln>
          <a:effectLst/>
        </c:spPr>
      </c:pivotFmt>
      <c:pivotFmt>
        <c:idx val="8"/>
        <c:spPr>
          <a:solidFill>
            <a:schemeClr val="accent5">
              <a:lumMod val="60000"/>
              <a:lumOff val="40000"/>
            </a:schemeClr>
          </a:solidFill>
          <a:ln w="19050">
            <a:noFill/>
          </a:ln>
          <a:effectLst/>
        </c:spPr>
      </c:pivotFmt>
      <c:pivotFmt>
        <c:idx val="9"/>
        <c:spPr>
          <a:solidFill>
            <a:schemeClr val="accent5">
              <a:lumMod val="40000"/>
              <a:lumOff val="60000"/>
            </a:schemeClr>
          </a:solidFill>
          <a:ln w="19050">
            <a:noFill/>
          </a:ln>
          <a:effectLst/>
        </c:spPr>
      </c:pivotFmt>
      <c:pivotFmt>
        <c:idx val="10"/>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6">
              <a:lumMod val="50000"/>
            </a:schemeClr>
          </a:solidFill>
          <a:ln w="19050">
            <a:noFill/>
          </a:ln>
          <a:effectLst/>
        </c:spPr>
      </c:pivotFmt>
      <c:pivotFmt>
        <c:idx val="12"/>
        <c:spPr>
          <a:solidFill>
            <a:schemeClr val="accent6">
              <a:lumMod val="75000"/>
            </a:schemeClr>
          </a:solidFill>
          <a:ln w="19050">
            <a:noFill/>
          </a:ln>
          <a:effectLst/>
        </c:spPr>
      </c:pivotFmt>
      <c:pivotFmt>
        <c:idx val="13"/>
        <c:spPr>
          <a:solidFill>
            <a:schemeClr val="accent6">
              <a:lumMod val="60000"/>
              <a:lumOff val="40000"/>
            </a:schemeClr>
          </a:solidFill>
          <a:ln w="19050">
            <a:noFill/>
          </a:ln>
          <a:effectLst/>
        </c:spPr>
      </c:pivotFmt>
      <c:pivotFmt>
        <c:idx val="14"/>
        <c:spPr>
          <a:solidFill>
            <a:schemeClr val="accent6">
              <a:lumMod val="40000"/>
              <a:lumOff val="60000"/>
            </a:schemeClr>
          </a:solidFill>
          <a:ln w="19050">
            <a:noFill/>
          </a:ln>
          <a:effectLst/>
        </c:spPr>
      </c:pivotFmt>
      <c:pivotFmt>
        <c:idx val="15"/>
        <c:spPr>
          <a:ln>
            <a:noFill/>
          </a:ln>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6">
              <a:lumMod val="50000"/>
            </a:schemeClr>
          </a:solidFill>
          <a:ln w="19050">
            <a:noFill/>
          </a:ln>
          <a:effectLst/>
        </c:spPr>
      </c:pivotFmt>
      <c:pivotFmt>
        <c:idx val="17"/>
        <c:spPr>
          <a:solidFill>
            <a:schemeClr val="accent6">
              <a:lumMod val="75000"/>
            </a:schemeClr>
          </a:solidFill>
          <a:ln w="19050">
            <a:noFill/>
          </a:ln>
          <a:effectLst/>
        </c:spPr>
      </c:pivotFmt>
      <c:pivotFmt>
        <c:idx val="18"/>
        <c:spPr>
          <a:solidFill>
            <a:schemeClr val="accent6">
              <a:lumMod val="60000"/>
              <a:lumOff val="40000"/>
            </a:schemeClr>
          </a:solidFill>
          <a:ln w="19050">
            <a:noFill/>
          </a:ln>
          <a:effectLst/>
        </c:spPr>
      </c:pivotFmt>
      <c:pivotFmt>
        <c:idx val="19"/>
        <c:spPr>
          <a:solidFill>
            <a:schemeClr val="accent6">
              <a:lumMod val="40000"/>
              <a:lumOff val="60000"/>
            </a:schemeClr>
          </a:solidFill>
          <a:ln w="19050">
            <a:noFill/>
          </a:ln>
          <a:effectLst/>
        </c:spPr>
      </c:pivotFmt>
      <c:pivotFmt>
        <c:idx val="20"/>
        <c:spPr>
          <a:ln>
            <a:noFill/>
          </a:ln>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6">
              <a:lumMod val="50000"/>
            </a:schemeClr>
          </a:solidFill>
          <a:ln w="19050">
            <a:noFill/>
          </a:ln>
          <a:effectLst/>
        </c:spPr>
      </c:pivotFmt>
      <c:pivotFmt>
        <c:idx val="22"/>
        <c:spPr>
          <a:solidFill>
            <a:schemeClr val="accent6">
              <a:lumMod val="75000"/>
            </a:schemeClr>
          </a:solidFill>
          <a:ln w="19050">
            <a:noFill/>
          </a:ln>
          <a:effectLst/>
        </c:spPr>
      </c:pivotFmt>
      <c:pivotFmt>
        <c:idx val="23"/>
        <c:spPr>
          <a:solidFill>
            <a:schemeClr val="accent6">
              <a:lumMod val="60000"/>
              <a:lumOff val="40000"/>
            </a:schemeClr>
          </a:solidFill>
          <a:ln w="19050">
            <a:noFill/>
          </a:ln>
          <a:effectLst/>
        </c:spPr>
      </c:pivotFmt>
      <c:pivotFmt>
        <c:idx val="24"/>
        <c:spPr>
          <a:solidFill>
            <a:schemeClr val="accent6">
              <a:lumMod val="40000"/>
              <a:lumOff val="60000"/>
            </a:schemeClr>
          </a:solidFill>
          <a:ln w="19050">
            <a:noFill/>
          </a:ln>
          <a:effectLst/>
        </c:spPr>
      </c:pivotFmt>
      <c:pivotFmt>
        <c:idx val="25"/>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50000"/>
            </a:schemeClr>
          </a:solidFill>
          <a:ln w="19050">
            <a:noFill/>
          </a:ln>
          <a:effectLst/>
        </c:spPr>
      </c:pivotFmt>
      <c:pivotFmt>
        <c:idx val="27"/>
        <c:spPr>
          <a:solidFill>
            <a:srgbClr val="4F7A32"/>
          </a:solidFill>
          <a:ln w="19050">
            <a:noFill/>
          </a:ln>
          <a:effectLst/>
        </c:spPr>
      </c:pivotFmt>
      <c:pivotFmt>
        <c:idx val="28"/>
        <c:spPr>
          <a:solidFill>
            <a:srgbClr val="97C777"/>
          </a:solidFill>
          <a:ln w="19050">
            <a:noFill/>
          </a:ln>
          <a:effectLst/>
        </c:spPr>
      </c:pivotFmt>
      <c:pivotFmt>
        <c:idx val="29"/>
        <c:spPr>
          <a:solidFill>
            <a:srgbClr val="B5D8A0"/>
          </a:solidFill>
          <a:ln w="19050">
            <a:noFill/>
          </a:ln>
          <a:effectLst/>
        </c:spPr>
      </c:pivotFmt>
    </c:pivotFmts>
    <c:plotArea>
      <c:layout/>
      <c:pieChart>
        <c:varyColors val="1"/>
        <c:ser>
          <c:idx val="0"/>
          <c:order val="0"/>
          <c:tx>
            <c:strRef>
              <c:f>'Sales by Region'!$B$3</c:f>
              <c:strCache>
                <c:ptCount val="1"/>
                <c:pt idx="0">
                  <c:v>Total</c:v>
                </c:pt>
              </c:strCache>
            </c:strRef>
          </c:tx>
          <c:spPr>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3FE0-46E2-A18D-CC7A4F807D78}"/>
              </c:ext>
            </c:extLst>
          </c:dPt>
          <c:dPt>
            <c:idx val="1"/>
            <c:bubble3D val="0"/>
            <c:spPr>
              <a:solidFill>
                <a:srgbClr val="4F7A32"/>
              </a:solidFill>
              <a:ln w="19050">
                <a:noFill/>
              </a:ln>
              <a:effectLst/>
            </c:spPr>
            <c:extLst>
              <c:ext xmlns:c16="http://schemas.microsoft.com/office/drawing/2014/chart" uri="{C3380CC4-5D6E-409C-BE32-E72D297353CC}">
                <c16:uniqueId val="{00000003-3FE0-46E2-A18D-CC7A4F807D78}"/>
              </c:ext>
            </c:extLst>
          </c:dPt>
          <c:dPt>
            <c:idx val="2"/>
            <c:bubble3D val="0"/>
            <c:spPr>
              <a:solidFill>
                <a:srgbClr val="97C777"/>
              </a:solidFill>
              <a:ln w="19050">
                <a:noFill/>
              </a:ln>
              <a:effectLst/>
            </c:spPr>
            <c:extLst>
              <c:ext xmlns:c16="http://schemas.microsoft.com/office/drawing/2014/chart" uri="{C3380CC4-5D6E-409C-BE32-E72D297353CC}">
                <c16:uniqueId val="{00000005-3FE0-46E2-A18D-CC7A4F807D78}"/>
              </c:ext>
            </c:extLst>
          </c:dPt>
          <c:dPt>
            <c:idx val="3"/>
            <c:bubble3D val="0"/>
            <c:spPr>
              <a:solidFill>
                <a:srgbClr val="B5D8A0"/>
              </a:solidFill>
              <a:ln w="19050">
                <a:noFill/>
              </a:ln>
              <a:effectLst/>
            </c:spPr>
            <c:extLst>
              <c:ext xmlns:c16="http://schemas.microsoft.com/office/drawing/2014/chart" uri="{C3380CC4-5D6E-409C-BE32-E72D297353CC}">
                <c16:uniqueId val="{00000007-3FE0-46E2-A18D-CC7A4F807D78}"/>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08-3FE0-46E2-A18D-CC7A4F807D78}"/>
            </c:ext>
          </c:extLst>
        </c:ser>
        <c:dLbls>
          <c:dLblPos val="out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bg2"/>
      </a:solid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project.xlsx]Sales Trend report!PivotTable1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rial" panose="020B0604020202020204" pitchFamily="34" charset="0"/>
                <a:cs typeface="Arial" panose="020B0604020202020204" pitchFamily="34" charset="0"/>
              </a:rPr>
              <a:t>Sales Trend Report </a:t>
            </a:r>
            <a:r>
              <a:rPr lang="en-US" sz="1400" b="1" i="1">
                <a:solidFill>
                  <a:srgbClr val="324D1F"/>
                </a:solidFill>
                <a:latin typeface="Arial" panose="020B0604020202020204" pitchFamily="34" charset="0"/>
                <a:cs typeface="Arial" panose="020B0604020202020204" pitchFamily="34" charset="0"/>
              </a:rPr>
              <a:t>For 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8301276205505449E-2"/>
              <c:y val="-3.639650474769297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6.5794091960697104E-2"/>
              <c:y val="-4.068221806924236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ser>
          <c:idx val="0"/>
          <c:order val="0"/>
          <c:tx>
            <c:strRef>
              <c:f>'Sales Trend report'!$B$3</c:f>
              <c:strCache>
                <c:ptCount val="1"/>
                <c:pt idx="0">
                  <c:v>Total</c:v>
                </c:pt>
              </c:strCache>
            </c:strRef>
          </c:tx>
          <c:spPr>
            <a:ln w="28575" cap="rnd">
              <a:solidFill>
                <a:srgbClr val="324D1F"/>
              </a:solidFill>
              <a:round/>
            </a:ln>
            <a:effectLst/>
          </c:spPr>
          <c:marker>
            <c:symbol val="none"/>
          </c:marker>
          <c:dLbls>
            <c:dLbl>
              <c:idx val="6"/>
              <c:layout>
                <c:manualLayout>
                  <c:x val="-7.8301276205505449E-2"/>
                  <c:y val="-3.63965047476929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CC-4CCC-9D10-FE4F5F10272E}"/>
                </c:ext>
              </c:extLst>
            </c:dLbl>
            <c:dLbl>
              <c:idx val="7"/>
              <c:layout>
                <c:manualLayout>
                  <c:x val="-6.5794091960697104E-2"/>
                  <c:y val="-4.06822180692423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CC-4CCC-9D10-FE4F5F10272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A423-4053-8645-3C2B11640B41}"/>
            </c:ext>
          </c:extLst>
        </c:ser>
        <c:dLbls>
          <c:dLblPos val="t"/>
          <c:showLegendKey val="0"/>
          <c:showVal val="1"/>
          <c:showCatName val="0"/>
          <c:showSerName val="0"/>
          <c:showPercent val="0"/>
          <c:showBubbleSize val="0"/>
        </c:dLbls>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455357320"/>
        <c:crosses val="autoZero"/>
        <c:crossBetween val="between"/>
      </c:valAx>
    </c:plotArea>
    <c:plotVisOnly val="1"/>
    <c:dispBlanksAs val="gap"/>
    <c:showDLblsOverMax val="0"/>
    <c:extLst/>
  </c:chart>
  <c:spPr>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project.xlsx]Top 10 Customer by revenue!PivotTable1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3C5C26"/>
                </a:solidFill>
                <a:latin typeface="Arial" panose="020B0604020202020204" pitchFamily="34" charset="0"/>
                <a:cs typeface="Arial" panose="020B0604020202020204" pitchFamily="34" charset="0"/>
              </a:rPr>
              <a:t>Top 10 Customer </a:t>
            </a:r>
            <a:r>
              <a:rPr lang="en-US" sz="1400" b="1" i="1">
                <a:solidFill>
                  <a:srgbClr val="3C5C26"/>
                </a:solidFill>
                <a:latin typeface="Arial" panose="020B0604020202020204" pitchFamily="34" charset="0"/>
                <a:cs typeface="Arial" panose="020B0604020202020204" pitchFamily="34" charset="0"/>
              </a:rPr>
              <a:t>by Revenue</a:t>
            </a:r>
          </a:p>
        </c:rich>
      </c:tx>
      <c:layout>
        <c:manualLayout>
          <c:xMode val="edge"/>
          <c:yMode val="edge"/>
          <c:x val="3.9514704447192114E-2"/>
          <c:y val="2.83837580295955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70C0"/>
          </a:solidFill>
          <a:ln>
            <a:noFill/>
          </a:ln>
          <a:effectLst/>
        </c:spPr>
      </c:pivotFmt>
      <c:pivotFmt>
        <c:idx val="3"/>
        <c:spPr>
          <a:solidFill>
            <a:srgbClr val="0070C0"/>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pivotFmt>
      <c:pivotFmt>
        <c:idx val="11"/>
        <c:spPr>
          <a:solidFill>
            <a:srgbClr val="0070C0"/>
          </a:solidFill>
          <a:ln>
            <a:noFill/>
          </a:ln>
          <a:effectLst/>
        </c:spPr>
      </c:pivotFmt>
      <c:pivotFmt>
        <c:idx val="12"/>
        <c:spPr>
          <a:solidFill>
            <a:srgbClr val="0070C0"/>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w="28575" cap="rnd">
            <a:solidFill>
              <a:schemeClr val="accent5">
                <a:lumMod val="75000"/>
              </a:schemeClr>
            </a:solidFill>
            <a:round/>
          </a:ln>
          <a:effectLst/>
        </c:spPr>
        <c:marker>
          <c:symbol val="none"/>
        </c:marker>
        <c:dLbl>
          <c:idx val="0"/>
          <c:layout>
            <c:manualLayout>
              <c:x val="-1.0185067526415994E-1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5">
                <a:lumMod val="75000"/>
              </a:schemeClr>
            </a:solidFill>
            <a:round/>
          </a:ln>
          <a:effectLst/>
        </c:spPr>
        <c:marker>
          <c:symbol val="none"/>
        </c:marker>
        <c:dLbl>
          <c:idx val="0"/>
          <c:layout>
            <c:manualLayout>
              <c:x val="0.1333333333333333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5">
                <a:lumMod val="75000"/>
              </a:schemeClr>
            </a:solidFill>
            <a:round/>
          </a:ln>
          <a:effectLst/>
        </c:spPr>
        <c:marker>
          <c:symbol val="none"/>
        </c:marker>
        <c:dLbl>
          <c:idx val="0"/>
          <c:layout>
            <c:manualLayout>
              <c:x val="0.1472222222222222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5">
                <a:lumMod val="75000"/>
              </a:schemeClr>
            </a:solidFill>
            <a:round/>
          </a:ln>
          <a:effectLst/>
        </c:spPr>
        <c:marker>
          <c:symbol val="none"/>
        </c:marker>
        <c:dLbl>
          <c:idx val="0"/>
          <c:layout>
            <c:manualLayout>
              <c:x val="0.14999999999999991"/>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5">
                <a:lumMod val="75000"/>
              </a:schemeClr>
            </a:solidFill>
            <a:round/>
          </a:ln>
          <a:effectLst/>
        </c:spPr>
        <c:marker>
          <c:symbol val="none"/>
        </c:marker>
        <c:dLbl>
          <c:idx val="0"/>
          <c:layout>
            <c:manualLayout>
              <c:x val="0.1083333333333332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5">
                <a:lumMod val="75000"/>
              </a:schemeClr>
            </a:solidFill>
            <a:round/>
          </a:ln>
          <a:effectLst/>
        </c:spPr>
        <c:marker>
          <c:symbol val="none"/>
        </c:marker>
        <c:dLbl>
          <c:idx val="0"/>
          <c:layout>
            <c:manualLayout>
              <c:x val="-1.0185067526415994E-16"/>
              <c:y val="0.10648148148148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5">
                <a:lumMod val="75000"/>
              </a:schemeClr>
            </a:solidFill>
            <a:round/>
          </a:ln>
          <a:effectLst/>
        </c:spPr>
        <c:marker>
          <c:symbol val="none"/>
        </c:marker>
        <c:dLbl>
          <c:idx val="0"/>
          <c:layout>
            <c:manualLayout>
              <c:x val="-0.10833333333333334"/>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5">
                <a:lumMod val="75000"/>
              </a:schemeClr>
            </a:solidFill>
            <a:round/>
          </a:ln>
          <a:effectLst/>
        </c:spPr>
        <c:marker>
          <c:symbol val="none"/>
        </c:marker>
        <c:dLbl>
          <c:idx val="0"/>
          <c:layout>
            <c:manualLayout>
              <c:x val="-0.11944444444444446"/>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5">
                <a:lumMod val="75000"/>
              </a:schemeClr>
            </a:solidFill>
            <a:round/>
          </a:ln>
          <a:effectLst/>
        </c:spPr>
        <c:marker>
          <c:symbol val="none"/>
        </c:marker>
        <c:dLbl>
          <c:idx val="0"/>
          <c:layout>
            <c:manualLayout>
              <c:x val="-0.119444444444444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75000"/>
              </a:schemeClr>
            </a:solidFill>
            <a:round/>
          </a:ln>
          <a:effectLst/>
        </c:spPr>
        <c:marker>
          <c:symbol val="none"/>
        </c:marker>
        <c:dLbl>
          <c:idx val="0"/>
          <c:layout>
            <c:manualLayout>
              <c:x val="-6.94444444444444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75000"/>
              </a:schemeClr>
            </a:solidFill>
            <a:round/>
          </a:ln>
          <a:effectLst/>
        </c:spPr>
        <c:marker>
          <c:symbol val="none"/>
        </c:marker>
        <c:dLbl>
          <c:idx val="0"/>
          <c:layout>
            <c:manualLayout>
              <c:x val="-1.0185067526415994E-1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75000"/>
              </a:schemeClr>
            </a:solidFill>
            <a:round/>
          </a:ln>
          <a:effectLst/>
        </c:spPr>
        <c:marker>
          <c:symbol val="none"/>
        </c:marker>
        <c:dLbl>
          <c:idx val="0"/>
          <c:layout>
            <c:manualLayout>
              <c:x val="-6.94444444444444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75000"/>
              </a:schemeClr>
            </a:solidFill>
            <a:round/>
          </a:ln>
          <a:effectLst/>
        </c:spPr>
        <c:marker>
          <c:symbol val="none"/>
        </c:marker>
        <c:dLbl>
          <c:idx val="0"/>
          <c:layout>
            <c:manualLayout>
              <c:x val="-0.119444444444444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75000"/>
              </a:schemeClr>
            </a:solidFill>
            <a:round/>
          </a:ln>
          <a:effectLst/>
        </c:spPr>
        <c:marker>
          <c:symbol val="none"/>
        </c:marker>
        <c:dLbl>
          <c:idx val="0"/>
          <c:layout>
            <c:manualLayout>
              <c:x val="-0.11944444444444446"/>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75000"/>
              </a:schemeClr>
            </a:solidFill>
            <a:round/>
          </a:ln>
          <a:effectLst/>
        </c:spPr>
        <c:marker>
          <c:symbol val="none"/>
        </c:marker>
        <c:dLbl>
          <c:idx val="0"/>
          <c:layout>
            <c:manualLayout>
              <c:x val="-0.10833333333333334"/>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75000"/>
              </a:schemeClr>
            </a:solidFill>
            <a:round/>
          </a:ln>
          <a:effectLst/>
        </c:spPr>
        <c:marker>
          <c:symbol val="none"/>
        </c:marker>
        <c:dLbl>
          <c:idx val="0"/>
          <c:layout>
            <c:manualLayout>
              <c:x val="-1.0185067526415994E-16"/>
              <c:y val="0.10648148148148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75000"/>
              </a:schemeClr>
            </a:solidFill>
            <a:round/>
          </a:ln>
          <a:effectLst/>
        </c:spPr>
        <c:marker>
          <c:symbol val="none"/>
        </c:marker>
        <c:dLbl>
          <c:idx val="0"/>
          <c:layout>
            <c:manualLayout>
              <c:x val="0.1083333333333332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75000"/>
              </a:schemeClr>
            </a:solidFill>
            <a:round/>
          </a:ln>
          <a:effectLst/>
        </c:spPr>
        <c:marker>
          <c:symbol val="none"/>
        </c:marker>
        <c:dLbl>
          <c:idx val="0"/>
          <c:layout>
            <c:manualLayout>
              <c:x val="0.14999999999999991"/>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5">
                <a:lumMod val="75000"/>
              </a:schemeClr>
            </a:solidFill>
            <a:round/>
          </a:ln>
          <a:effectLst/>
        </c:spPr>
        <c:marker>
          <c:symbol val="none"/>
        </c:marker>
        <c:dLbl>
          <c:idx val="0"/>
          <c:layout>
            <c:manualLayout>
              <c:x val="0.1472222222222222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5">
                <a:lumMod val="75000"/>
              </a:schemeClr>
            </a:solidFill>
            <a:round/>
          </a:ln>
          <a:effectLst/>
        </c:spPr>
        <c:marker>
          <c:symbol val="none"/>
        </c:marker>
        <c:dLbl>
          <c:idx val="0"/>
          <c:layout>
            <c:manualLayout>
              <c:x val="0.1333333333333333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6">
                <a:lumMod val="50000"/>
              </a:schemeClr>
            </a:solidFill>
            <a:round/>
          </a:ln>
          <a:effectLst/>
        </c:spPr>
        <c:marker>
          <c:symbol val="none"/>
        </c:marker>
        <c:dLbl>
          <c:idx val="0"/>
          <c:layout>
            <c:manualLayout>
              <c:x val="-1.0185067526415994E-1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6">
                <a:lumMod val="50000"/>
              </a:schemeClr>
            </a:solidFill>
            <a:round/>
          </a:ln>
          <a:effectLst/>
        </c:spPr>
        <c:marker>
          <c:symbol val="none"/>
        </c:marker>
        <c:dLbl>
          <c:idx val="0"/>
          <c:layout>
            <c:manualLayout>
              <c:x val="-6.94444444444444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6">
                <a:lumMod val="50000"/>
              </a:schemeClr>
            </a:solidFill>
            <a:round/>
          </a:ln>
          <a:effectLst/>
        </c:spPr>
        <c:marker>
          <c:symbol val="none"/>
        </c:marker>
        <c:dLbl>
          <c:idx val="0"/>
          <c:layout>
            <c:manualLayout>
              <c:x val="-0.119444444444444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6">
                <a:lumMod val="50000"/>
              </a:schemeClr>
            </a:solidFill>
            <a:round/>
          </a:ln>
          <a:effectLst/>
        </c:spPr>
        <c:marker>
          <c:symbol val="none"/>
        </c:marker>
        <c:dLbl>
          <c:idx val="0"/>
          <c:layout>
            <c:manualLayout>
              <c:x val="-0.11944444444444446"/>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layout>
            <c:manualLayout>
              <c:x val="-0.10833333333333334"/>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6">
                <a:lumMod val="50000"/>
              </a:schemeClr>
            </a:solidFill>
            <a:round/>
          </a:ln>
          <a:effectLst/>
        </c:spPr>
        <c:marker>
          <c:symbol val="none"/>
        </c:marker>
        <c:dLbl>
          <c:idx val="0"/>
          <c:layout>
            <c:manualLayout>
              <c:x val="-1.0185067526415994E-16"/>
              <c:y val="0.10648148148148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6">
                <a:lumMod val="50000"/>
              </a:schemeClr>
            </a:solidFill>
            <a:round/>
          </a:ln>
          <a:effectLst/>
        </c:spPr>
        <c:marker>
          <c:symbol val="none"/>
        </c:marker>
        <c:dLbl>
          <c:idx val="0"/>
          <c:layout>
            <c:manualLayout>
              <c:x val="0.1083333333333332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6">
                <a:lumMod val="50000"/>
              </a:schemeClr>
            </a:solidFill>
            <a:round/>
          </a:ln>
          <a:effectLst/>
        </c:spPr>
        <c:marker>
          <c:symbol val="none"/>
        </c:marker>
        <c:dLbl>
          <c:idx val="0"/>
          <c:layout>
            <c:manualLayout>
              <c:x val="0.14999999999999991"/>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6">
                <a:lumMod val="50000"/>
              </a:schemeClr>
            </a:solidFill>
            <a:round/>
          </a:ln>
          <a:effectLst/>
        </c:spPr>
        <c:marker>
          <c:symbol val="none"/>
        </c:marker>
        <c:dLbl>
          <c:idx val="0"/>
          <c:layout>
            <c:manualLayout>
              <c:x val="0.1472222222222222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6">
                <a:lumMod val="50000"/>
              </a:schemeClr>
            </a:solidFill>
            <a:round/>
          </a:ln>
          <a:effectLst/>
        </c:spPr>
        <c:marker>
          <c:symbol val="none"/>
        </c:marker>
        <c:dLbl>
          <c:idx val="0"/>
          <c:layout>
            <c:manualLayout>
              <c:x val="0.1333333333333333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50000"/>
              </a:schemeClr>
            </a:solidFill>
            <a:round/>
          </a:ln>
          <a:effectLst/>
        </c:spPr>
        <c:marker>
          <c:symbol val="none"/>
        </c:marker>
        <c:dLbl>
          <c:idx val="0"/>
          <c:layout>
            <c:manualLayout>
              <c:x val="-1.0185067526415994E-1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6">
                <a:lumMod val="50000"/>
              </a:schemeClr>
            </a:solidFill>
            <a:round/>
          </a:ln>
          <a:effectLst/>
        </c:spPr>
        <c:marker>
          <c:symbol val="none"/>
        </c:marker>
        <c:dLbl>
          <c:idx val="0"/>
          <c:layout>
            <c:manualLayout>
              <c:x val="-6.94444444444444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6">
                <a:lumMod val="50000"/>
              </a:schemeClr>
            </a:solidFill>
            <a:round/>
          </a:ln>
          <a:effectLst/>
        </c:spPr>
        <c:marker>
          <c:symbol val="none"/>
        </c:marker>
        <c:dLbl>
          <c:idx val="0"/>
          <c:layout>
            <c:manualLayout>
              <c:x val="-0.119444444444444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6">
                <a:lumMod val="50000"/>
              </a:schemeClr>
            </a:solidFill>
            <a:round/>
          </a:ln>
          <a:effectLst/>
        </c:spPr>
        <c:marker>
          <c:symbol val="none"/>
        </c:marker>
        <c:dLbl>
          <c:idx val="0"/>
          <c:layout>
            <c:manualLayout>
              <c:x val="-0.11944444444444446"/>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6">
                <a:lumMod val="50000"/>
              </a:schemeClr>
            </a:solidFill>
            <a:round/>
          </a:ln>
          <a:effectLst/>
        </c:spPr>
        <c:marker>
          <c:symbol val="none"/>
        </c:marker>
        <c:dLbl>
          <c:idx val="0"/>
          <c:layout>
            <c:manualLayout>
              <c:x val="-0.10833333333333334"/>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6">
                <a:lumMod val="50000"/>
              </a:schemeClr>
            </a:solidFill>
            <a:round/>
          </a:ln>
          <a:effectLst/>
        </c:spPr>
        <c:marker>
          <c:symbol val="none"/>
        </c:marker>
        <c:dLbl>
          <c:idx val="0"/>
          <c:layout>
            <c:manualLayout>
              <c:x val="-1.0185067526415994E-16"/>
              <c:y val="0.10648148148148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6">
                <a:lumMod val="50000"/>
              </a:schemeClr>
            </a:solidFill>
            <a:round/>
          </a:ln>
          <a:effectLst/>
        </c:spPr>
        <c:marker>
          <c:symbol val="none"/>
        </c:marker>
        <c:dLbl>
          <c:idx val="0"/>
          <c:layout>
            <c:manualLayout>
              <c:x val="0.1083333333333332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6">
                <a:lumMod val="50000"/>
              </a:schemeClr>
            </a:solidFill>
            <a:round/>
          </a:ln>
          <a:effectLst/>
        </c:spPr>
        <c:marker>
          <c:symbol val="none"/>
        </c:marker>
        <c:dLbl>
          <c:idx val="0"/>
          <c:layout>
            <c:manualLayout>
              <c:x val="0.14999999999999991"/>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6">
                <a:lumMod val="50000"/>
              </a:schemeClr>
            </a:solidFill>
            <a:round/>
          </a:ln>
          <a:effectLst/>
        </c:spPr>
        <c:marker>
          <c:symbol val="none"/>
        </c:marker>
        <c:dLbl>
          <c:idx val="0"/>
          <c:layout>
            <c:manualLayout>
              <c:x val="0.1472222222222222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6">
                <a:lumMod val="50000"/>
              </a:schemeClr>
            </a:solidFill>
            <a:round/>
          </a:ln>
          <a:effectLst/>
        </c:spPr>
        <c:marker>
          <c:symbol val="none"/>
        </c:marker>
        <c:dLbl>
          <c:idx val="0"/>
          <c:layout>
            <c:manualLayout>
              <c:x val="0.1333333333333333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6">
                <a:lumMod val="50000"/>
              </a:schemeClr>
            </a:solidFill>
            <a:round/>
          </a:ln>
          <a:effectLst/>
        </c:spPr>
        <c:marker>
          <c:symbol val="none"/>
        </c:marker>
        <c:dLbl>
          <c:idx val="0"/>
          <c:layout>
            <c:manualLayout>
              <c:x val="-1.0185067526415994E-1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6">
                <a:lumMod val="50000"/>
              </a:schemeClr>
            </a:solidFill>
            <a:round/>
          </a:ln>
          <a:effectLst/>
        </c:spPr>
        <c:marker>
          <c:symbol val="none"/>
        </c:marker>
        <c:dLbl>
          <c:idx val="0"/>
          <c:layout>
            <c:manualLayout>
              <c:x val="-6.94444444444444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6">
                <a:lumMod val="50000"/>
              </a:schemeClr>
            </a:solidFill>
            <a:round/>
          </a:ln>
          <a:effectLst/>
        </c:spPr>
        <c:marker>
          <c:symbol val="none"/>
        </c:marker>
        <c:dLbl>
          <c:idx val="0"/>
          <c:layout>
            <c:manualLayout>
              <c:x val="-0.11944436734660988"/>
              <c:y val="2.15907205242725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ln w="28575" cap="rnd">
            <a:solidFill>
              <a:schemeClr val="accent6">
                <a:lumMod val="50000"/>
              </a:schemeClr>
            </a:solidFill>
            <a:round/>
          </a:ln>
          <a:effectLst/>
        </c:spPr>
        <c:marker>
          <c:symbol val="none"/>
        </c:marker>
        <c:dLbl>
          <c:idx val="0"/>
          <c:layout>
            <c:manualLayout>
              <c:x val="-0.11944436734660988"/>
              <c:y val="7.900782716205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6">
                <a:lumMod val="50000"/>
              </a:schemeClr>
            </a:solidFill>
            <a:round/>
          </a:ln>
          <a:effectLst/>
        </c:spPr>
        <c:marker>
          <c:symbol val="none"/>
        </c:marker>
        <c:dLbl>
          <c:idx val="0"/>
          <c:layout>
            <c:manualLayout>
              <c:x val="-0.10833333333333334"/>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ln w="28575" cap="rnd">
            <a:solidFill>
              <a:schemeClr val="accent6">
                <a:lumMod val="50000"/>
              </a:schemeClr>
            </a:solidFill>
            <a:round/>
          </a:ln>
          <a:effectLst/>
        </c:spPr>
        <c:marker>
          <c:symbol val="none"/>
        </c:marker>
        <c:dLbl>
          <c:idx val="0"/>
          <c:layout>
            <c:manualLayout>
              <c:x val="-1.0185067526415994E-16"/>
              <c:y val="0.10648148148148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6">
                <a:lumMod val="50000"/>
              </a:schemeClr>
            </a:solidFill>
            <a:round/>
          </a:ln>
          <a:effectLst/>
        </c:spPr>
        <c:marker>
          <c:symbol val="none"/>
        </c:marker>
        <c:dLbl>
          <c:idx val="0"/>
          <c:layout>
            <c:manualLayout>
              <c:x val="0.1083333333333332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chemeClr val="accent6">
                <a:lumMod val="50000"/>
              </a:schemeClr>
            </a:solidFill>
            <a:round/>
          </a:ln>
          <a:effectLst/>
        </c:spPr>
        <c:marker>
          <c:symbol val="none"/>
        </c:marker>
        <c:dLbl>
          <c:idx val="0"/>
          <c:layout>
            <c:manualLayout>
              <c:x val="0.14999999999999991"/>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ln w="28575" cap="rnd">
            <a:solidFill>
              <a:schemeClr val="accent6">
                <a:lumMod val="50000"/>
              </a:schemeClr>
            </a:solidFill>
            <a:round/>
          </a:ln>
          <a:effectLst/>
        </c:spPr>
        <c:marker>
          <c:symbol val="none"/>
        </c:marker>
        <c:dLbl>
          <c:idx val="0"/>
          <c:layout>
            <c:manualLayout>
              <c:x val="0.1472222222222222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chemeClr val="accent6">
                <a:lumMod val="50000"/>
              </a:schemeClr>
            </a:solidFill>
            <a:round/>
          </a:ln>
          <a:effectLst/>
        </c:spPr>
        <c:marker>
          <c:symbol val="none"/>
        </c:marker>
        <c:dLbl>
          <c:idx val="0"/>
          <c:layout>
            <c:manualLayout>
              <c:x val="0.1333333333333333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10 Customer by revenue'!$B$3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1ADE-41FA-9855-787EDE2B726F}"/>
              </c:ext>
            </c:extLst>
          </c:dPt>
          <c:dPt>
            <c:idx val="1"/>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3-1ADE-41FA-9855-787EDE2B726F}"/>
              </c:ext>
            </c:extLst>
          </c:dPt>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5-1ADE-41FA-9855-787EDE2B726F}"/>
              </c:ext>
            </c:extLst>
          </c:dPt>
          <c:dPt>
            <c:idx val="3"/>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7-1ADE-41FA-9855-787EDE2B726F}"/>
              </c:ext>
            </c:extLst>
          </c:dPt>
          <c:dPt>
            <c:idx val="4"/>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9-1ADE-41FA-9855-787EDE2B726F}"/>
              </c:ext>
            </c:extLst>
          </c:dPt>
          <c:dPt>
            <c:idx val="5"/>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B-1ADE-41FA-9855-787EDE2B726F}"/>
              </c:ext>
            </c:extLst>
          </c:dPt>
          <c:dPt>
            <c:idx val="6"/>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D-1ADE-41FA-9855-787EDE2B726F}"/>
              </c:ext>
            </c:extLst>
          </c:dPt>
          <c:dPt>
            <c:idx val="7"/>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F-1ADE-41FA-9855-787EDE2B726F}"/>
              </c:ext>
            </c:extLst>
          </c:dPt>
          <c:dPt>
            <c:idx val="8"/>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11-1ADE-41FA-9855-787EDE2B726F}"/>
              </c:ext>
            </c:extLst>
          </c:dPt>
          <c:dPt>
            <c:idx val="9"/>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13-1ADE-41FA-9855-787EDE2B726F}"/>
              </c:ext>
            </c:extLst>
          </c:dPt>
          <c:dLbls>
            <c:dLbl>
              <c:idx val="0"/>
              <c:layout>
                <c:manualLayout>
                  <c:x val="-1.0185067526415994E-16"/>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DE-41FA-9855-787EDE2B726F}"/>
                </c:ext>
              </c:extLst>
            </c:dLbl>
            <c:dLbl>
              <c:idx val="1"/>
              <c:layout>
                <c:manualLayout>
                  <c:x val="-6.94444444444444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DE-41FA-9855-787EDE2B726F}"/>
                </c:ext>
              </c:extLst>
            </c:dLbl>
            <c:dLbl>
              <c:idx val="2"/>
              <c:layout>
                <c:manualLayout>
                  <c:x val="-0.11944436734660988"/>
                  <c:y val="2.1590720524272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DE-41FA-9855-787EDE2B726F}"/>
                </c:ext>
              </c:extLst>
            </c:dLbl>
            <c:dLbl>
              <c:idx val="3"/>
              <c:layout>
                <c:manualLayout>
                  <c:x val="-0.11944436734660988"/>
                  <c:y val="7.9007827162051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DE-41FA-9855-787EDE2B726F}"/>
                </c:ext>
              </c:extLst>
            </c:dLbl>
            <c:dLbl>
              <c:idx val="4"/>
              <c:layout>
                <c:manualLayout>
                  <c:x val="-0.10833333333333334"/>
                  <c:y val="4.6296296296296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ADE-41FA-9855-787EDE2B726F}"/>
                </c:ext>
              </c:extLst>
            </c:dLbl>
            <c:dLbl>
              <c:idx val="5"/>
              <c:layout>
                <c:manualLayout>
                  <c:x val="-1.0185067526415994E-16"/>
                  <c:y val="0.106481481481481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ADE-41FA-9855-787EDE2B726F}"/>
                </c:ext>
              </c:extLst>
            </c:dLbl>
            <c:dLbl>
              <c:idx val="6"/>
              <c:layout>
                <c:manualLayout>
                  <c:x val="0.1083333333333332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DE-41FA-9855-787EDE2B726F}"/>
                </c:ext>
              </c:extLst>
            </c:dLbl>
            <c:dLbl>
              <c:idx val="7"/>
              <c:layout>
                <c:manualLayout>
                  <c:x val="0.14999999999999991"/>
                  <c:y val="8.7962962962963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ADE-41FA-9855-787EDE2B726F}"/>
                </c:ext>
              </c:extLst>
            </c:dLbl>
            <c:dLbl>
              <c:idx val="8"/>
              <c:layout>
                <c:manualLayout>
                  <c:x val="0.1472222222222222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ADE-41FA-9855-787EDE2B726F}"/>
                </c:ext>
              </c:extLst>
            </c:dLbl>
            <c:dLbl>
              <c:idx val="9"/>
              <c:layout>
                <c:manualLayout>
                  <c:x val="0.13333333333333333"/>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ADE-41FA-9855-787EDE2B72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 by revenue'!$A$4:$A$14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 by revenue'!$B$4:$B$14</c:f>
              <c:numCache>
                <c:formatCode>"$"#,##0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4-1ADE-41FA-9855-787EDE2B726F}"/>
            </c:ext>
          </c:extLst>
        </c:ser>
        <c:dLbls>
          <c:showLegendKey val="0"/>
          <c:showVal val="1"/>
          <c:showCatName val="0"/>
          <c:showSerName val="0"/>
          <c:showPercent val="0"/>
          <c:showBubbleSize val="0"/>
        </c:dLbls>
        <c:axId val="383363808"/>
        <c:axId val="383361184"/>
      </c:radarChart>
      <c:catAx>
        <c:axId val="38336380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3361184"/>
        <c:crosses val="autoZero"/>
        <c:auto val="1"/>
        <c:lblAlgn val="ctr"/>
        <c:lblOffset val="100"/>
        <c:noMultiLvlLbl val="0"/>
      </c:catAx>
      <c:valAx>
        <c:axId val="38336118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8336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[Apex Business Profitability analytical project.xlsx]Sales by category!PivotTable3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rial" panose="020B0604020202020204" pitchFamily="34" charset="0"/>
                <a:cs typeface="Arial" panose="020B0604020202020204" pitchFamily="34" charset="0"/>
              </a:rPr>
              <a:t>Product Category </a:t>
            </a:r>
            <a:r>
              <a:rPr lang="en-US" sz="1400" b="1" i="1">
                <a:solidFill>
                  <a:schemeClr val="accent6">
                    <a:lumMod val="50000"/>
                  </a:schemeClr>
                </a:solidFill>
                <a:latin typeface="Arial" panose="020B0604020202020204" pitchFamily="34" charset="0"/>
                <a:cs typeface="Arial" panose="020B0604020202020204" pitchFamily="34" charset="0"/>
              </a:rPr>
              <a:t>by Revenue Generated</a:t>
            </a:r>
          </a:p>
        </c:rich>
      </c:tx>
      <c:layout>
        <c:manualLayout>
          <c:xMode val="edge"/>
          <c:yMode val="edge"/>
          <c:x val="3.991999371338683E-2"/>
          <c:y val="2.1126765249365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a:noFill/>
          </a:ln>
          <a:effectLst/>
        </c:spPr>
      </c:pivotFmt>
      <c:pivotFmt>
        <c:idx val="14"/>
        <c:spPr>
          <a:solidFill>
            <a:schemeClr val="accent6">
              <a:lumMod val="50000"/>
            </a:schemeClr>
          </a:solidFill>
          <a:ln>
            <a:noFill/>
          </a:ln>
          <a:effectLst/>
        </c:spPr>
      </c:pivotFmt>
      <c:pivotFmt>
        <c:idx val="15"/>
        <c:spPr>
          <a:solidFill>
            <a:schemeClr val="accent6">
              <a:lumMod val="50000"/>
            </a:schemeClr>
          </a:solidFill>
          <a:ln>
            <a:noFill/>
          </a:ln>
          <a:effectLst/>
        </c:spPr>
      </c:pivotFmt>
      <c:pivotFmt>
        <c:idx val="16"/>
        <c:spPr>
          <a:solidFill>
            <a:schemeClr val="accent6">
              <a:lumMod val="50000"/>
            </a:schemeClr>
          </a:solidFill>
          <a:ln>
            <a:noFill/>
          </a:ln>
          <a:effectLst/>
        </c:spPr>
      </c:pivotFmt>
      <c:pivotFmt>
        <c:idx val="17"/>
        <c:spPr>
          <a:solidFill>
            <a:schemeClr val="accent6">
              <a:lumMod val="50000"/>
            </a:schemeClr>
          </a:solidFill>
          <a:ln>
            <a:noFill/>
          </a:ln>
          <a:effectLst/>
        </c:spPr>
      </c:pivotFmt>
    </c:pivotFmts>
    <c:plotArea>
      <c:layout/>
      <c:barChart>
        <c:barDir val="col"/>
        <c:grouping val="clustered"/>
        <c:varyColors val="0"/>
        <c:ser>
          <c:idx val="0"/>
          <c:order val="0"/>
          <c:tx>
            <c:strRef>
              <c:f>'Sales by category'!$B$3</c:f>
              <c:strCache>
                <c:ptCount val="1"/>
                <c:pt idx="0">
                  <c:v>Total</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8DA6-4345-A373-025FBF0C287D}"/>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8DA6-4345-A373-025FBF0C287D}"/>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5-8DA6-4345-A373-025FBF0C287D}"/>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8DA6-4345-A373-025FBF0C287D}"/>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9-8DA6-4345-A373-025FBF0C287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category'!$A$4:$A$9</c:f>
              <c:strCache>
                <c:ptCount val="5"/>
                <c:pt idx="0">
                  <c:v>Beverages</c:v>
                </c:pt>
                <c:pt idx="1">
                  <c:v>Sauces</c:v>
                </c:pt>
                <c:pt idx="2">
                  <c:v>Jams, Preserves</c:v>
                </c:pt>
                <c:pt idx="3">
                  <c:v>Dairy Products</c:v>
                </c:pt>
                <c:pt idx="4">
                  <c:v>Dried Fruit &amp; Nuts</c:v>
                </c:pt>
              </c:strCache>
            </c:strRef>
          </c:cat>
          <c:val>
            <c:numRef>
              <c:f>'Sales by category'!$B$4:$B$9</c:f>
              <c:numCache>
                <c:formatCode>"$"#,##0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A-8DA6-4345-A373-025FBF0C287D}"/>
            </c:ext>
          </c:extLst>
        </c:ser>
        <c:dLbls>
          <c:dLblPos val="outEnd"/>
          <c:showLegendKey val="0"/>
          <c:showVal val="1"/>
          <c:showCatName val="0"/>
          <c:showSerName val="0"/>
          <c:showPercent val="0"/>
          <c:showBubbleSize val="0"/>
        </c:dLbls>
        <c:gapWidth val="29"/>
        <c:overlap val="-27"/>
        <c:axId val="494359752"/>
        <c:axId val="494365656"/>
      </c:barChart>
      <c:catAx>
        <c:axId val="494359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94365656"/>
        <c:crosses val="autoZero"/>
        <c:auto val="1"/>
        <c:lblAlgn val="ctr"/>
        <c:lblOffset val="100"/>
        <c:noMultiLvlLbl val="0"/>
      </c:catAx>
      <c:valAx>
        <c:axId val="494365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94359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24D1F"/>
                </a:solidFill>
                <a:latin typeface="Arial" panose="020B0604020202020204" pitchFamily="34" charset="0"/>
                <a:cs typeface="Arial" panose="020B0604020202020204" pitchFamily="34" charset="0"/>
              </a:rPr>
              <a:t>Sales Trend Report </a:t>
            </a:r>
            <a:r>
              <a:rPr lang="en-US" sz="900" b="1" i="1">
                <a:solidFill>
                  <a:srgbClr val="324D1F"/>
                </a:solidFill>
                <a:latin typeface="Arial" panose="020B0604020202020204" pitchFamily="34" charset="0"/>
                <a:cs typeface="Arial" panose="020B0604020202020204" pitchFamily="34" charset="0"/>
              </a:rPr>
              <a:t>for</a:t>
            </a:r>
            <a:r>
              <a:rPr lang="en-US" sz="900" b="1" i="1" baseline="0">
                <a:solidFill>
                  <a:srgbClr val="324D1F"/>
                </a:solidFill>
                <a:latin typeface="Arial" panose="020B0604020202020204" pitchFamily="34" charset="0"/>
                <a:cs typeface="Arial" panose="020B0604020202020204" pitchFamily="34" charset="0"/>
              </a:rPr>
              <a:t> </a:t>
            </a:r>
            <a:r>
              <a:rPr lang="en-US" sz="900" b="1" i="1">
                <a:solidFill>
                  <a:srgbClr val="324D1F"/>
                </a:solidFill>
                <a:latin typeface="Arial" panose="020B0604020202020204" pitchFamily="34" charset="0"/>
                <a:cs typeface="Arial" panose="020B0604020202020204" pitchFamily="34" charset="0"/>
              </a:rPr>
              <a:t>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5357320"/>
        <c:crosses val="autoZero"/>
        <c:crossBetween val="between"/>
      </c:valAx>
    </c:plotArea>
    <c:plotVisOnly val="1"/>
    <c:dispBlanksAs val="gap"/>
    <c:showDLblsOverMax val="0"/>
    <c:extLst/>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24D1F"/>
                </a:solidFill>
                <a:latin typeface="Arial" panose="020B0604020202020204" pitchFamily="34" charset="0"/>
                <a:cs typeface="Arial" panose="020B0604020202020204" pitchFamily="34" charset="0"/>
              </a:rPr>
              <a:t>Sales Trend Report </a:t>
            </a:r>
            <a:r>
              <a:rPr lang="en-US" sz="900" b="1" i="1">
                <a:solidFill>
                  <a:srgbClr val="324D1F"/>
                </a:solidFill>
                <a:latin typeface="Arial" panose="020B0604020202020204" pitchFamily="34" charset="0"/>
                <a:cs typeface="Arial" panose="020B0604020202020204" pitchFamily="34" charset="0"/>
              </a:rPr>
              <a:t>for</a:t>
            </a:r>
            <a:r>
              <a:rPr lang="en-US" sz="900" b="1" i="1" baseline="0">
                <a:solidFill>
                  <a:srgbClr val="324D1F"/>
                </a:solidFill>
                <a:latin typeface="Arial" panose="020B0604020202020204" pitchFamily="34" charset="0"/>
                <a:cs typeface="Arial" panose="020B0604020202020204" pitchFamily="34" charset="0"/>
              </a:rPr>
              <a:t> </a:t>
            </a:r>
            <a:r>
              <a:rPr lang="en-US" sz="900" b="1" i="1">
                <a:solidFill>
                  <a:srgbClr val="324D1F"/>
                </a:solidFill>
                <a:latin typeface="Arial" panose="020B0604020202020204" pitchFamily="34" charset="0"/>
                <a:cs typeface="Arial" panose="020B0604020202020204" pitchFamily="34" charset="0"/>
              </a:rPr>
              <a:t>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5357320"/>
        <c:crosses val="autoZero"/>
        <c:crossBetween val="between"/>
      </c:valAx>
    </c:plotArea>
    <c:plotVisOnly val="1"/>
    <c:dispBlanksAs val="gap"/>
    <c:showDLblsOverMax val="0"/>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24D1F"/>
                </a:solidFill>
                <a:latin typeface="Arial" panose="020B0604020202020204" pitchFamily="34" charset="0"/>
                <a:cs typeface="Arial" panose="020B0604020202020204" pitchFamily="34" charset="0"/>
              </a:rPr>
              <a:t>Sales Trend Report </a:t>
            </a:r>
            <a:r>
              <a:rPr lang="en-US" sz="900" b="1" i="1">
                <a:solidFill>
                  <a:srgbClr val="324D1F"/>
                </a:solidFill>
                <a:latin typeface="Arial" panose="020B0604020202020204" pitchFamily="34" charset="0"/>
                <a:cs typeface="Arial" panose="020B0604020202020204" pitchFamily="34" charset="0"/>
              </a:rPr>
              <a:t>for</a:t>
            </a:r>
            <a:r>
              <a:rPr lang="en-US" sz="900" b="1" i="1" baseline="0">
                <a:solidFill>
                  <a:srgbClr val="324D1F"/>
                </a:solidFill>
                <a:latin typeface="Arial" panose="020B0604020202020204" pitchFamily="34" charset="0"/>
                <a:cs typeface="Arial" panose="020B0604020202020204" pitchFamily="34" charset="0"/>
              </a:rPr>
              <a:t> </a:t>
            </a:r>
            <a:r>
              <a:rPr lang="en-US" sz="900" b="1" i="1">
                <a:solidFill>
                  <a:srgbClr val="324D1F"/>
                </a:solidFill>
                <a:latin typeface="Arial" panose="020B0604020202020204" pitchFamily="34" charset="0"/>
                <a:cs typeface="Arial" panose="020B0604020202020204" pitchFamily="34" charset="0"/>
              </a:rPr>
              <a:t>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5357320"/>
        <c:crosses val="autoZero"/>
        <c:crossBetween val="between"/>
      </c:valAx>
    </c:plotArea>
    <c:plotVisOnly val="1"/>
    <c:dispBlanksAs val="gap"/>
    <c:showDLblsOverMax val="0"/>
    <c:extLst/>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0602414152083"/>
          <c:y val="0.21866714919428798"/>
          <c:w val="0.78744400699912509"/>
          <c:h val="0.72547098279381739"/>
        </c:manualLayout>
      </c:layout>
      <c:lineChart>
        <c:grouping val="standard"/>
        <c:varyColors val="0"/>
        <c:ser>
          <c:idx val="0"/>
          <c:order val="0"/>
          <c:tx>
            <c:v>Total</c:v>
          </c:tx>
          <c:spPr>
            <a:ln w="6350" cap="rnd">
              <a:solidFill>
                <a:schemeClr val="bg1"/>
              </a:solidFill>
              <a:round/>
            </a:ln>
            <a:effectLst/>
          </c:spPr>
          <c:marker>
            <c:symbol val="none"/>
          </c:marker>
          <c:dLbls>
            <c:delete val="1"/>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Lit>
          </c:val>
          <c:smooth val="0"/>
          <c:extLst>
            <c:ext xmlns:c16="http://schemas.microsoft.com/office/drawing/2014/chart" uri="{C3380CC4-5D6E-409C-BE32-E72D297353CC}">
              <c16:uniqueId val="{00000000-F56D-4779-9FA8-4C933AD056C8}"/>
            </c:ext>
          </c:extLst>
        </c:ser>
        <c:dLbls>
          <c:dLblPos val="t"/>
          <c:showLegendKey val="0"/>
          <c:showVal val="1"/>
          <c:showCatName val="0"/>
          <c:showSerName val="0"/>
          <c:showPercent val="0"/>
          <c:showBubbleSize val="0"/>
        </c:dLbls>
        <c:smooth val="0"/>
        <c:axId val="455357320"/>
        <c:axId val="455357648"/>
      </c:lineChart>
      <c:catAx>
        <c:axId val="455357320"/>
        <c:scaling>
          <c:orientation val="minMax"/>
        </c:scaling>
        <c:delete val="1"/>
        <c:axPos val="b"/>
        <c:numFmt formatCode="General" sourceLinked="1"/>
        <c:majorTickMark val="none"/>
        <c:minorTickMark val="none"/>
        <c:tickLblPos val="nextTo"/>
        <c:crossAx val="455357648"/>
        <c:crosses val="autoZero"/>
        <c:auto val="1"/>
        <c:lblAlgn val="ctr"/>
        <c:lblOffset val="100"/>
        <c:noMultiLvlLbl val="0"/>
      </c:catAx>
      <c:valAx>
        <c:axId val="455357648"/>
        <c:scaling>
          <c:orientation val="minMax"/>
        </c:scaling>
        <c:delete val="1"/>
        <c:axPos val="l"/>
        <c:numFmt formatCode="General" sourceLinked="1"/>
        <c:majorTickMark val="none"/>
        <c:minorTickMark val="none"/>
        <c:tickLblPos val="nextTo"/>
        <c:crossAx val="45535732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24D1F"/>
                </a:solidFill>
                <a:latin typeface="Arial" panose="020B0604020202020204" pitchFamily="34" charset="0"/>
                <a:cs typeface="Arial" panose="020B0604020202020204" pitchFamily="34" charset="0"/>
              </a:rPr>
              <a:t>Sales Trend Report </a:t>
            </a:r>
            <a:r>
              <a:rPr lang="en-US" sz="900" b="1" i="1">
                <a:solidFill>
                  <a:srgbClr val="324D1F"/>
                </a:solidFill>
                <a:latin typeface="Arial" panose="020B0604020202020204" pitchFamily="34" charset="0"/>
                <a:cs typeface="Arial" panose="020B0604020202020204" pitchFamily="34" charset="0"/>
              </a:rPr>
              <a:t>for</a:t>
            </a:r>
            <a:r>
              <a:rPr lang="en-US" sz="900" b="1" i="1" baseline="0">
                <a:solidFill>
                  <a:srgbClr val="324D1F"/>
                </a:solidFill>
                <a:latin typeface="Arial" panose="020B0604020202020204" pitchFamily="34" charset="0"/>
                <a:cs typeface="Arial" panose="020B0604020202020204" pitchFamily="34" charset="0"/>
              </a:rPr>
              <a:t> </a:t>
            </a:r>
            <a:r>
              <a:rPr lang="en-US" sz="900" b="1" i="1">
                <a:solidFill>
                  <a:srgbClr val="324D1F"/>
                </a:solidFill>
                <a:latin typeface="Arial" panose="020B0604020202020204" pitchFamily="34" charset="0"/>
                <a:cs typeface="Arial" panose="020B0604020202020204" pitchFamily="34" charset="0"/>
              </a:rPr>
              <a:t>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5357320"/>
        <c:crosses val="autoZero"/>
        <c:crossBetween val="between"/>
      </c:valAx>
    </c:plotArea>
    <c:plotVisOnly val="1"/>
    <c:dispBlanksAs val="gap"/>
    <c:showDLblsOverMax val="0"/>
    <c:extLst/>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0602414152083"/>
          <c:y val="0.21866714919428798"/>
          <c:w val="0.78744400699912509"/>
          <c:h val="0.72547098279381739"/>
        </c:manualLayout>
      </c:layout>
      <c:lineChart>
        <c:grouping val="standard"/>
        <c:varyColors val="0"/>
        <c:ser>
          <c:idx val="0"/>
          <c:order val="0"/>
          <c:tx>
            <c:v>Total</c:v>
          </c:tx>
          <c:spPr>
            <a:ln w="6350" cap="rnd">
              <a:solidFill>
                <a:schemeClr val="bg1"/>
              </a:solidFill>
              <a:round/>
            </a:ln>
            <a:effectLst/>
          </c:spPr>
          <c:marker>
            <c:symbol val="none"/>
          </c:marker>
          <c:dLbls>
            <c:delete val="1"/>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Lit>
          </c:val>
          <c:smooth val="0"/>
          <c:extLst>
            <c:ext xmlns:c16="http://schemas.microsoft.com/office/drawing/2014/chart" uri="{C3380CC4-5D6E-409C-BE32-E72D297353CC}">
              <c16:uniqueId val="{00000000-F56D-4779-9FA8-4C933AD056C8}"/>
            </c:ext>
          </c:extLst>
        </c:ser>
        <c:dLbls>
          <c:dLblPos val="t"/>
          <c:showLegendKey val="0"/>
          <c:showVal val="1"/>
          <c:showCatName val="0"/>
          <c:showSerName val="0"/>
          <c:showPercent val="0"/>
          <c:showBubbleSize val="0"/>
        </c:dLbls>
        <c:smooth val="0"/>
        <c:axId val="455357320"/>
        <c:axId val="455357648"/>
      </c:lineChart>
      <c:catAx>
        <c:axId val="455357320"/>
        <c:scaling>
          <c:orientation val="minMax"/>
        </c:scaling>
        <c:delete val="1"/>
        <c:axPos val="b"/>
        <c:numFmt formatCode="General" sourceLinked="1"/>
        <c:majorTickMark val="none"/>
        <c:minorTickMark val="none"/>
        <c:tickLblPos val="nextTo"/>
        <c:crossAx val="455357648"/>
        <c:crosses val="autoZero"/>
        <c:auto val="1"/>
        <c:lblAlgn val="ctr"/>
        <c:lblOffset val="100"/>
        <c:noMultiLvlLbl val="0"/>
      </c:catAx>
      <c:valAx>
        <c:axId val="455357648"/>
        <c:scaling>
          <c:orientation val="minMax"/>
        </c:scaling>
        <c:delete val="1"/>
        <c:axPos val="l"/>
        <c:numFmt formatCode="General" sourceLinked="1"/>
        <c:majorTickMark val="none"/>
        <c:minorTickMark val="none"/>
        <c:tickLblPos val="nextTo"/>
        <c:crossAx val="45535732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24D1F"/>
                </a:solidFill>
                <a:latin typeface="Arial" panose="020B0604020202020204" pitchFamily="34" charset="0"/>
                <a:cs typeface="Arial" panose="020B0604020202020204" pitchFamily="34" charset="0"/>
              </a:rPr>
              <a:t>Sales Trend Report </a:t>
            </a:r>
            <a:r>
              <a:rPr lang="en-US" sz="900" b="1" i="1">
                <a:solidFill>
                  <a:srgbClr val="324D1F"/>
                </a:solidFill>
                <a:latin typeface="Arial" panose="020B0604020202020204" pitchFamily="34" charset="0"/>
                <a:cs typeface="Arial" panose="020B0604020202020204" pitchFamily="34" charset="0"/>
              </a:rPr>
              <a:t>for</a:t>
            </a:r>
            <a:r>
              <a:rPr lang="en-US" sz="900" b="1" i="1" baseline="0">
                <a:solidFill>
                  <a:srgbClr val="324D1F"/>
                </a:solidFill>
                <a:latin typeface="Arial" panose="020B0604020202020204" pitchFamily="34" charset="0"/>
                <a:cs typeface="Arial" panose="020B0604020202020204" pitchFamily="34" charset="0"/>
              </a:rPr>
              <a:t> </a:t>
            </a:r>
            <a:r>
              <a:rPr lang="en-US" sz="900" b="1" i="1">
                <a:solidFill>
                  <a:srgbClr val="324D1F"/>
                </a:solidFill>
                <a:latin typeface="Arial" panose="020B0604020202020204" pitchFamily="34" charset="0"/>
                <a:cs typeface="Arial" panose="020B0604020202020204" pitchFamily="34" charset="0"/>
              </a:rPr>
              <a:t>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5357320"/>
        <c:crosses val="autoZero"/>
        <c:crossBetween val="between"/>
      </c:valAx>
    </c:plotArea>
    <c:plotVisOnly val="1"/>
    <c:dispBlanksAs val="gap"/>
    <c:showDLblsOverMax val="0"/>
    <c:extLst/>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0602414152083"/>
          <c:y val="0.21866714919428798"/>
          <c:w val="0.78744400699912509"/>
          <c:h val="0.72547098279381739"/>
        </c:manualLayout>
      </c:layout>
      <c:lineChart>
        <c:grouping val="standard"/>
        <c:varyColors val="0"/>
        <c:ser>
          <c:idx val="0"/>
          <c:order val="0"/>
          <c:tx>
            <c:v>Total</c:v>
          </c:tx>
          <c:spPr>
            <a:ln w="6350" cap="rnd">
              <a:solidFill>
                <a:schemeClr val="bg1"/>
              </a:solidFill>
              <a:round/>
            </a:ln>
            <a:effectLst/>
          </c:spPr>
          <c:marker>
            <c:symbol val="none"/>
          </c:marker>
          <c:dLbls>
            <c:delete val="1"/>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Lit>
          </c:val>
          <c:smooth val="0"/>
          <c:extLst>
            <c:ext xmlns:c16="http://schemas.microsoft.com/office/drawing/2014/chart" uri="{C3380CC4-5D6E-409C-BE32-E72D297353CC}">
              <c16:uniqueId val="{00000000-F56D-4779-9FA8-4C933AD056C8}"/>
            </c:ext>
          </c:extLst>
        </c:ser>
        <c:dLbls>
          <c:dLblPos val="t"/>
          <c:showLegendKey val="0"/>
          <c:showVal val="1"/>
          <c:showCatName val="0"/>
          <c:showSerName val="0"/>
          <c:showPercent val="0"/>
          <c:showBubbleSize val="0"/>
        </c:dLbls>
        <c:smooth val="0"/>
        <c:axId val="455357320"/>
        <c:axId val="455357648"/>
      </c:lineChart>
      <c:catAx>
        <c:axId val="455357320"/>
        <c:scaling>
          <c:orientation val="minMax"/>
        </c:scaling>
        <c:delete val="1"/>
        <c:axPos val="b"/>
        <c:numFmt formatCode="General" sourceLinked="1"/>
        <c:majorTickMark val="none"/>
        <c:minorTickMark val="none"/>
        <c:tickLblPos val="nextTo"/>
        <c:crossAx val="455357648"/>
        <c:crosses val="autoZero"/>
        <c:auto val="1"/>
        <c:lblAlgn val="ctr"/>
        <c:lblOffset val="100"/>
        <c:noMultiLvlLbl val="0"/>
      </c:catAx>
      <c:valAx>
        <c:axId val="455357648"/>
        <c:scaling>
          <c:orientation val="minMax"/>
        </c:scaling>
        <c:delete val="1"/>
        <c:axPos val="l"/>
        <c:numFmt formatCode="General" sourceLinked="1"/>
        <c:majorTickMark val="none"/>
        <c:minorTickMark val="none"/>
        <c:tickLblPos val="nextTo"/>
        <c:crossAx val="45535732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24D1F"/>
                </a:solidFill>
                <a:latin typeface="Arial" panose="020B0604020202020204" pitchFamily="34" charset="0"/>
                <a:cs typeface="Arial" panose="020B0604020202020204" pitchFamily="34" charset="0"/>
              </a:rPr>
              <a:t>Sales Trend Report </a:t>
            </a:r>
            <a:r>
              <a:rPr lang="en-US" sz="900" b="1" i="1">
                <a:solidFill>
                  <a:srgbClr val="324D1F"/>
                </a:solidFill>
                <a:latin typeface="Arial" panose="020B0604020202020204" pitchFamily="34" charset="0"/>
                <a:cs typeface="Arial" panose="020B0604020202020204" pitchFamily="34" charset="0"/>
              </a:rPr>
              <a:t>for</a:t>
            </a:r>
            <a:r>
              <a:rPr lang="en-US" sz="900" b="1" i="1" baseline="0">
                <a:solidFill>
                  <a:srgbClr val="324D1F"/>
                </a:solidFill>
                <a:latin typeface="Arial" panose="020B0604020202020204" pitchFamily="34" charset="0"/>
                <a:cs typeface="Arial" panose="020B0604020202020204" pitchFamily="34" charset="0"/>
              </a:rPr>
              <a:t> </a:t>
            </a:r>
            <a:r>
              <a:rPr lang="en-US" sz="900" b="1" i="1">
                <a:solidFill>
                  <a:srgbClr val="324D1F"/>
                </a:solidFill>
                <a:latin typeface="Arial" panose="020B0604020202020204" pitchFamily="34" charset="0"/>
                <a:cs typeface="Arial" panose="020B0604020202020204" pitchFamily="34" charset="0"/>
              </a:rPr>
              <a:t>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5357320"/>
        <c:crosses val="autoZero"/>
        <c:crossBetween val="between"/>
      </c:valAx>
    </c:plotArea>
    <c:plotVisOnly val="1"/>
    <c:dispBlanksAs val="gap"/>
    <c:showDLblsOverMax val="0"/>
    <c:extLst/>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0605675634412"/>
          <c:y val="0.25024678802586986"/>
          <c:w val="0.78744400699912509"/>
          <c:h val="0.72547098279381739"/>
        </c:manualLayout>
      </c:layout>
      <c:lineChart>
        <c:grouping val="standard"/>
        <c:varyColors val="0"/>
        <c:ser>
          <c:idx val="0"/>
          <c:order val="0"/>
          <c:tx>
            <c:v>Total</c:v>
          </c:tx>
          <c:spPr>
            <a:ln w="6350" cap="rnd">
              <a:solidFill>
                <a:schemeClr val="bg1"/>
              </a:solidFill>
              <a:round/>
            </a:ln>
            <a:effectLst/>
          </c:spPr>
          <c:marker>
            <c:symbol val="none"/>
          </c:marker>
          <c:dLbls>
            <c:delete val="1"/>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Lit>
          </c:val>
          <c:smooth val="0"/>
          <c:extLst>
            <c:ext xmlns:c16="http://schemas.microsoft.com/office/drawing/2014/chart" uri="{C3380CC4-5D6E-409C-BE32-E72D297353CC}">
              <c16:uniqueId val="{00000000-F56D-4779-9FA8-4C933AD056C8}"/>
            </c:ext>
          </c:extLst>
        </c:ser>
        <c:dLbls>
          <c:dLblPos val="t"/>
          <c:showLegendKey val="0"/>
          <c:showVal val="1"/>
          <c:showCatName val="0"/>
          <c:showSerName val="0"/>
          <c:showPercent val="0"/>
          <c:showBubbleSize val="0"/>
        </c:dLbls>
        <c:smooth val="0"/>
        <c:axId val="455357320"/>
        <c:axId val="455357648"/>
      </c:lineChart>
      <c:catAx>
        <c:axId val="455357320"/>
        <c:scaling>
          <c:orientation val="minMax"/>
        </c:scaling>
        <c:delete val="1"/>
        <c:axPos val="b"/>
        <c:numFmt formatCode="General" sourceLinked="1"/>
        <c:majorTickMark val="none"/>
        <c:minorTickMark val="none"/>
        <c:tickLblPos val="nextTo"/>
        <c:crossAx val="455357648"/>
        <c:crosses val="autoZero"/>
        <c:auto val="1"/>
        <c:lblAlgn val="ctr"/>
        <c:lblOffset val="100"/>
        <c:noMultiLvlLbl val="0"/>
      </c:catAx>
      <c:valAx>
        <c:axId val="455357648"/>
        <c:scaling>
          <c:orientation val="minMax"/>
        </c:scaling>
        <c:delete val="1"/>
        <c:axPos val="l"/>
        <c:numFmt formatCode="General" sourceLinked="1"/>
        <c:majorTickMark val="none"/>
        <c:minorTickMark val="none"/>
        <c:tickLblPos val="nextTo"/>
        <c:crossAx val="45535732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24D1F"/>
                </a:solidFill>
                <a:latin typeface="Arial" panose="020B0604020202020204" pitchFamily="34" charset="0"/>
                <a:cs typeface="Arial" panose="020B0604020202020204" pitchFamily="34" charset="0"/>
              </a:rPr>
              <a:t>Sales Trend Report </a:t>
            </a:r>
            <a:r>
              <a:rPr lang="en-US" sz="900" b="1" i="1">
                <a:solidFill>
                  <a:srgbClr val="324D1F"/>
                </a:solidFill>
                <a:latin typeface="Arial" panose="020B0604020202020204" pitchFamily="34" charset="0"/>
                <a:cs typeface="Arial" panose="020B0604020202020204" pitchFamily="34" charset="0"/>
              </a:rPr>
              <a:t>for</a:t>
            </a:r>
            <a:r>
              <a:rPr lang="en-US" sz="900" b="1" i="1" baseline="0">
                <a:solidFill>
                  <a:srgbClr val="324D1F"/>
                </a:solidFill>
                <a:latin typeface="Arial" panose="020B0604020202020204" pitchFamily="34" charset="0"/>
                <a:cs typeface="Arial" panose="020B0604020202020204" pitchFamily="34" charset="0"/>
              </a:rPr>
              <a:t> </a:t>
            </a:r>
            <a:r>
              <a:rPr lang="en-US" sz="900" b="1" i="1">
                <a:solidFill>
                  <a:srgbClr val="324D1F"/>
                </a:solidFill>
                <a:latin typeface="Arial" panose="020B0604020202020204" pitchFamily="34" charset="0"/>
                <a:cs typeface="Arial" panose="020B0604020202020204" pitchFamily="34" charset="0"/>
              </a:rPr>
              <a:t>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5357320"/>
        <c:crosses val="autoZero"/>
        <c:crossBetween val="between"/>
      </c:valAx>
    </c:plotArea>
    <c:plotVisOnly val="1"/>
    <c:dispBlanksAs val="gap"/>
    <c:showDLblsOverMax val="0"/>
    <c:extLst/>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0605675634412"/>
          <c:y val="0.25024678802586986"/>
          <c:w val="0.78744400699912509"/>
          <c:h val="0.72547098279381739"/>
        </c:manualLayout>
      </c:layout>
      <c:lineChart>
        <c:grouping val="standard"/>
        <c:varyColors val="0"/>
        <c:ser>
          <c:idx val="0"/>
          <c:order val="0"/>
          <c:tx>
            <c:v>Total</c:v>
          </c:tx>
          <c:spPr>
            <a:ln w="6350" cap="rnd">
              <a:solidFill>
                <a:schemeClr val="bg1"/>
              </a:solidFill>
              <a:round/>
            </a:ln>
            <a:effectLst/>
          </c:spPr>
          <c:marker>
            <c:symbol val="none"/>
          </c:marker>
          <c:dLbls>
            <c:delete val="1"/>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Lit>
          </c:val>
          <c:smooth val="0"/>
          <c:extLst>
            <c:ext xmlns:c16="http://schemas.microsoft.com/office/drawing/2014/chart" uri="{C3380CC4-5D6E-409C-BE32-E72D297353CC}">
              <c16:uniqueId val="{00000000-F56D-4779-9FA8-4C933AD056C8}"/>
            </c:ext>
          </c:extLst>
        </c:ser>
        <c:dLbls>
          <c:dLblPos val="t"/>
          <c:showLegendKey val="0"/>
          <c:showVal val="1"/>
          <c:showCatName val="0"/>
          <c:showSerName val="0"/>
          <c:showPercent val="0"/>
          <c:showBubbleSize val="0"/>
        </c:dLbls>
        <c:smooth val="0"/>
        <c:axId val="455357320"/>
        <c:axId val="455357648"/>
      </c:lineChart>
      <c:catAx>
        <c:axId val="455357320"/>
        <c:scaling>
          <c:orientation val="minMax"/>
        </c:scaling>
        <c:delete val="1"/>
        <c:axPos val="b"/>
        <c:numFmt formatCode="General" sourceLinked="1"/>
        <c:majorTickMark val="none"/>
        <c:minorTickMark val="none"/>
        <c:tickLblPos val="nextTo"/>
        <c:crossAx val="455357648"/>
        <c:crosses val="autoZero"/>
        <c:auto val="1"/>
        <c:lblAlgn val="ctr"/>
        <c:lblOffset val="100"/>
        <c:noMultiLvlLbl val="0"/>
      </c:catAx>
      <c:valAx>
        <c:axId val="455357648"/>
        <c:scaling>
          <c:orientation val="minMax"/>
        </c:scaling>
        <c:delete val="1"/>
        <c:axPos val="l"/>
        <c:numFmt formatCode="General" sourceLinked="1"/>
        <c:majorTickMark val="none"/>
        <c:minorTickMark val="none"/>
        <c:tickLblPos val="nextTo"/>
        <c:crossAx val="45535732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24D1F"/>
                </a:solidFill>
                <a:latin typeface="Arial" panose="020B0604020202020204" pitchFamily="34" charset="0"/>
                <a:cs typeface="Arial" panose="020B0604020202020204" pitchFamily="34" charset="0"/>
              </a:rPr>
              <a:t>Sales Trend Report </a:t>
            </a:r>
            <a:r>
              <a:rPr lang="en-US" sz="900" b="1" i="1">
                <a:solidFill>
                  <a:srgbClr val="324D1F"/>
                </a:solidFill>
                <a:latin typeface="Arial" panose="020B0604020202020204" pitchFamily="34" charset="0"/>
                <a:cs typeface="Arial" panose="020B0604020202020204" pitchFamily="34" charset="0"/>
              </a:rPr>
              <a:t>for</a:t>
            </a:r>
            <a:r>
              <a:rPr lang="en-US" sz="900" b="1" i="1" baseline="0">
                <a:solidFill>
                  <a:srgbClr val="324D1F"/>
                </a:solidFill>
                <a:latin typeface="Arial" panose="020B0604020202020204" pitchFamily="34" charset="0"/>
                <a:cs typeface="Arial" panose="020B0604020202020204" pitchFamily="34" charset="0"/>
              </a:rPr>
              <a:t> </a:t>
            </a:r>
            <a:r>
              <a:rPr lang="en-US" sz="900" b="1" i="1">
                <a:solidFill>
                  <a:srgbClr val="324D1F"/>
                </a:solidFill>
                <a:latin typeface="Arial" panose="020B0604020202020204" pitchFamily="34" charset="0"/>
                <a:cs typeface="Arial" panose="020B0604020202020204" pitchFamily="34" charset="0"/>
              </a:rPr>
              <a:t>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5357320"/>
        <c:crosses val="autoZero"/>
        <c:crossBetween val="between"/>
      </c:valAx>
    </c:plotArea>
    <c:plotVisOnly val="1"/>
    <c:dispBlanksAs val="gap"/>
    <c:showDLblsOverMax val="0"/>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324D1F"/>
                </a:solidFill>
                <a:latin typeface="Arial" panose="020B0604020202020204" pitchFamily="34" charset="0"/>
                <a:cs typeface="Arial" panose="020B0604020202020204" pitchFamily="34" charset="0"/>
              </a:rPr>
              <a:t>Sales Trend Report </a:t>
            </a:r>
            <a:r>
              <a:rPr lang="en-US" sz="900" b="1" i="1">
                <a:solidFill>
                  <a:srgbClr val="324D1F"/>
                </a:solidFill>
                <a:latin typeface="Arial" panose="020B0604020202020204" pitchFamily="34" charset="0"/>
                <a:cs typeface="Arial" panose="020B0604020202020204" pitchFamily="34" charset="0"/>
              </a:rPr>
              <a:t>for</a:t>
            </a:r>
            <a:r>
              <a:rPr lang="en-US" sz="900" b="1" i="1" baseline="0">
                <a:solidFill>
                  <a:srgbClr val="324D1F"/>
                </a:solidFill>
                <a:latin typeface="Arial" panose="020B0604020202020204" pitchFamily="34" charset="0"/>
                <a:cs typeface="Arial" panose="020B0604020202020204" pitchFamily="34" charset="0"/>
              </a:rPr>
              <a:t> </a:t>
            </a:r>
            <a:r>
              <a:rPr lang="en-US" sz="900" b="1" i="1">
                <a:solidFill>
                  <a:srgbClr val="324D1F"/>
                </a:solidFill>
                <a:latin typeface="Arial" panose="020B0604020202020204" pitchFamily="34" charset="0"/>
                <a:cs typeface="Arial" panose="020B0604020202020204" pitchFamily="34" charset="0"/>
              </a:rPr>
              <a:t>the Year</a:t>
            </a:r>
          </a:p>
        </c:rich>
      </c:tx>
      <c:layout>
        <c:manualLayout>
          <c:xMode val="edge"/>
          <c:yMode val="edge"/>
          <c:x val="4.4079253522505635E-2"/>
          <c:y val="2.957020532752269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24D1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16250000000000003"/>
          <c:w val="0.78744400699912509"/>
          <c:h val="0.72547098279381739"/>
        </c:manualLayout>
      </c:layout>
      <c:lineChart>
        <c:grouping val="standard"/>
        <c:varyColors val="0"/>
        <c:dLbls>
          <c:dLblPos val="t"/>
          <c:showLegendKey val="0"/>
          <c:showVal val="1"/>
          <c:showCatName val="0"/>
          <c:showSerName val="0"/>
          <c:showPercent val="0"/>
          <c:showBubbleSize val="0"/>
        </c:dLbls>
        <c:marker val="1"/>
        <c:smooth val="0"/>
        <c:axId val="455357320"/>
        <c:axId val="455357648"/>
      </c:lineChart>
      <c:catAx>
        <c:axId val="45535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357648"/>
        <c:crosses val="autoZero"/>
        <c:auto val="1"/>
        <c:lblAlgn val="ctr"/>
        <c:lblOffset val="100"/>
        <c:noMultiLvlLbl val="0"/>
      </c:catAx>
      <c:valAx>
        <c:axId val="45535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5357320"/>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performance by Revenue</cx:v>
        </cx:txData>
      </cx:tx>
      <cx:txPr>
        <a:bodyPr spcFirstLastPara="1" vertOverflow="ellipsis" horzOverflow="overflow" wrap="square" lIns="0" tIns="0" rIns="0" bIns="0" anchor="ctr" anchorCtr="1"/>
        <a:lstStyle/>
        <a:p>
          <a:pPr algn="ctr" rtl="0">
            <a:defRPr/>
          </a:pPr>
          <a:r>
            <a:rPr lang="en-US" sz="1200" b="0" i="0" u="none" strike="noStrike" baseline="0">
              <a:solidFill>
                <a:schemeClr val="accent6">
                  <a:lumMod val="50000"/>
                </a:schemeClr>
              </a:solidFill>
              <a:latin typeface="Arial" panose="020B0604020202020204" pitchFamily="34" charset="0"/>
              <a:cs typeface="Arial" panose="020B0604020202020204" pitchFamily="34" charset="0"/>
            </a:rPr>
            <a:t>State performance by Revenue</a:t>
          </a:r>
        </a:p>
      </cx:txPr>
    </cx:title>
    <cx:plotArea>
      <cx:plotAreaRegion>
        <cx:series layoutId="regionMap" uniqueId="{2AD5FE6D-A775-40AC-B237-5C372B201EE4}">
          <cx:tx>
            <cx:txData>
              <cx:f>_xlchart.v5.2</cx:f>
              <cx:v>Sum of Revenue</cx:v>
            </cx:txData>
          </cx:tx>
          <cx:dataLabels>
            <cx:visibility seriesName="0" categoryName="1" value="0"/>
            <cx:separator>
</cx:separator>
          </cx:dataLabels>
          <cx:dataId val="0"/>
          <cx:layoutPr>
            <cx:geography cultureLanguage="en-US" cultureRegion="US" attribution="Powered by Bing">
              <cx:geoCache provider="{E9337A44-BEBE-4D9F-B70C-5C5E7DAFC167}">
                <cx:binary>1HzZbtxItu2vFPx8qYo5GI2uA1wyMzVatiXLXfYLIUsqzgwyOPPrz6JSrrbSLvm60bhA6cEJcciI
Pa+9dsj/vJv+cVc83LpfprKo2n/cTb+9Srqu/sevv7Z3yUN52x6V6Z2zrf2jO7qz5a/2jz/Su4df
793tmFbxr4xQ8etdcuu6h+nV//wT3xY/2At7d9ultnrXP7j56qHti6594d53b/1ye1+m1SZtO5fe
dfS3V5cfX/3yUHVpN7+f64ffXj27/+qXXw+/5ZsVfymwqa6/x7uCHRlumOCckccf/uqXwlbx021P
yyOFO1JRYR5/1Je1L29LvH/5MP7y0br8y9Xv7ehxP7f39+6hbSHM4+fXbz7b/168O9tX3aqxGMr7
7dVNlXYP979cd7fdQ/vql7S14f6B0K5C3Fw/Sv3rc53/zz8PLkAPB1e+Msuh0n506xurhG9e0sHP
WYX7R8b4UhLxZBX63CqUyCMptM8VzLV3hb05QltYd3tvv1z9fzfHv988MMcq19/RHP/3JR38pDn0
EZNCKUPNPkgOzUHNkaKaaSroPkq+rP1kldsi/cO6Kr39cv0n7PLVu4eWgYh/Q8vsLl7Sws9ZhvlH
0khJBd8bhhxYxmdHwtdcMP/pgYN42SFc0vv/wCx/vnhgk1W4v6FNTjf/PZsIccR9QzT7Egz+QfKi
4khJw7VP5JdV93Fyen+b/Aep6+m1A0usIv0dLfFfjA5BjiisgDLxVLzNc0v45ogKX3Hpy33awv2v
q8lpUaSVTVFx/xpufL+4//vNQ6v8PePj8sNLOvi5nMXNEZdKCMnJXuvfxIdCfEjua99/zGrIaV9b
5fJhuP1PUtaX9w4ssor2N4yTN1dftPK9WvpzFhEcINhXiAT1Zxx8DYIpI0dS+kBdQn9ZdZ+x3riH
2FZfrn1vJ9+Pjy/vHdhiFepvaIv3ly9p4OdsweWRL5gx5Mn5CTvIWeqIC85WuPUnFvs6Ot4/VBX6
jIeHl7b0faN89eqBXVYB/4Z2uXn/khJ+0i7IWoxrrZjc6/3ALpTSI6V9xpg6aBFvutvkpX183xj7
tw7ssAr0N7TDvwDU/7qC/pwdhD4SlHKpfb3PVchI3+YqJXwi6Peqx79u2wR0RfefZK2v3z2wzCri
39Eyp/9FywDWcmMkV091/Vu0pTlDt2K+34v8K23vbNWm/0E5+erVQ7tAwL+BXV7e4tex8+zJnyS7
gLwkQegIrvc5DN3g17FjzBFZ0TI3T3hZfPGOfbU/oKH+elt/kdKes1jPJPn/xHH9Nf/1J0m4ue1u
t4/s4lcU2Mt3H8UF23nw6rOc90zaL2o9vf/tFRPQ8p+c5foVz9Dud3X+53sPt2332ytPqSOjOVfI
ioBwVBCUoPFhvQWYcCQpA5wwXILD8QG2K+u65LdXmgKHCw1zM58ytKKt7dfrFOQbZxJMDgWjY0Dr
/EnnvrXFDLz3pzaefv+l6su3Nq269rdXHD5V7x9bd7muCPhoFOVMK6BMhg3Ud7dXyMF4mv6fgmau
omMuH3wadb3ZslrUXhGSekiXD1L2dX4rPCfbXdXM7Sw2HZtkMoWejcjnuHKi8kLLplyfmUTO/SY3
XtWcjKYs2teFLGtvDmw+yfqzzLtsshvoqsh4GGst6IOe7NxfFcmki1vfl3V0x0veqMtYpU3Ng5Km
LbYiaunKNwkl3Vht4kK6vA7sKMvyguq5wZbjsqTzOSt5lf3htYPFO1+Z9DtKQs16piNDQEEbNEVm
JdkYgUd8rSNNy7RPVOI/RKOtsuakK0UhTgoxtE6fLG3cpWO4pDVYtoJEKYt2Ly9PgV2er681R24W
3OewFDbzfP0l436riErvM5rzPA07yyVPAmOY12Q7N42x6zYu6WKRBJ7wlrp6Owo+tyykYlEjP+tU
UrV5YG3DHb000m9w7+VNwiG/2qMk0ihBOJHoHYG1fA0X/1pHuUoauIY3XCZt7mFzSzlq9aluZdW/
mz2/F+i8/wyz79jke+uBgN5nSqUUeb6enqaaMp/0l0vpJGuCKU6aLCA2T6UNXJvGYNV+Zj1NfQrM
j74X5VFQdeADfIworYY0u4yyePCuqzybCdvovNB8W7WNhsgvL7gq7KvA1IRzDvbD8HW2scb5cwGn
JPVY4rh3rzw3YKl40bFudoUvOk6CynVKfcoliTqU2JcEPXD2dV1hhGYA0sz4/HDdup+tth737+MZ
QayCgdRF+3siIlbFwZilffqmijCZ6oIksYDbPxAbKORAbC180D7MCAm4fuhHsRxSj0wJv/d0oRse
ypEoeYvM5HWndkl1cZl61NLXPG/m/jpvCVmSAJiygFJeVsRzD4NnSQacisZaSQVt8AMDdCol2ZxX
0V1klkq6Y9vUZTRvvahszXw8+26CVV5e8lvhwaoooaRPDEGZP3DqRCdRAb9y90KNSJu7maqF5jvp
xr4V29SPhPrkemi9CVqFZuiTJfPgzHZILanHHzgCPSgNUIAh6GXXzAfGlPsHu4nNkklTd97nJHW6
9E6mLlkzTDnZBBOwfszEIsK0bGdWB5NhHLuSKUn667JW2RxWHnXVtSmT0lWbRlrHrsohrdrPL+ts
LVBfxwm6DSIEEZJqFEVwic/jpB8j35FmmT5PrnNwAtLnBMoi08ilF0yOI1prljdr0HSjXT/SOu5/
VlmUKi0UJ8r4ggvUiufb8BvWdnOr7OeqkB6KYoZysIzBMJNuluc8kiikbdy7/LbMZIUS5erSUXni
e5k35EGToHytpXRO8FaVLsVwLqa8tuUP8jQ99DG6KkmztRmGhZU6KPgTH6vaVAv/3EZMeeU269q6
6N82S5fWVTg2c4PNeboccM/OTWnnjZ8vs3c91nV02hpXZHFYLguZz8ukqbooqAxRURf2knjFlSpN
vJQh42ZCjWFeNtPqjCymwLfmaTQ2zQ/ClIJvfOYAIFt8o4wiaDtB3MuDygPPrJqhGupPWlqZybAm
/loQoqg3xoV00Ws5iuZ99ix6gXv9YzqpaeTj1jR2XDW7fuQ/DmhxmMUZ4JtBIFHKQOF94xb5lLdl
lNj6U+0QRc2Wt7kvXjOa8Pmct/0MdZhoKJYPZTLNsw76xI1NEiLhj+oqbpbIO3GlyJYPzutbdemn
akVckxjKwhznvVzNY1tu4ELzoOVwVbssXz4shcrHPCBFsaKAFNqHgWxlElzkswO088tpgu24zGZ8
tAuJO39Ty5a3O6X71Xb5FKdAbM3j8saPvXkMfDtl+AoLNIadp161gq2ulmV+O7WqauqdGRwdrgW3
S3fhXB65oChKx8rQi6NyOokF0MrHyq8i8WEgA4WTaT8GcBuaygLzvZwbDlM4tK+JRunmQivJ6YFr
8GiuYmrq4tNCy9bFwcSIrttgtJktTnnfjEgUL694mI2YRi5iFHWbCtTuwxVbR9pkLPn4kS/96oxj
L9b0x1qdo3iroZHqU5TxBU44sr5r49caiQV++vI21v7gWVBwrRTTKFySESbQdjxPRwsf+sYzqvxQ
iqrseNDZXnoPtkkaZKMkbyu6dZG26duh9WNknDqRNt7GfscGG/haj8UQdCxuzovIV9cTd4U/B+1I
1XDV+R5Jw0Yukz2HE5EkyIiI0joQEaAhgj0h8EM7JEAXp1GWd2vkD5g3vAE7p+s54Lnj03D8ssSH
ec3nKFAru8cezx2gyXouca6ipBqbVt8MfUXQFUjnGLqCYVn9VgBkiZOEjhPcdsoNx0fcPbYKnqpX
l+Z9NrLoOprU6tKsSYErT9Ka8TVFNktL6K4phrpNjxc554i6aCzXJoXOfono1LRBGL0sEjvIbD4Q
kI+yiawGC1JKDlJ1w6tysVnFbvwu4Yitro7XDXQe79fQfYxj0NAz9hYl0xriyJVrSnF1g0LjJRR9
EZ3kesk2eZvfFibT4iQdi1UPzTxadRk1E55KE76KOMelane5px3f1b4beBvOqBcQ9weiHaBMiGYo
5t4UoYKxBfDec2t1U0510dv5hsfDmqk618C1lmJJ7V1H/JxVwdzZZvmgWbXWx9KzFAaZVFnE83Yp
Fe3ineFeP94ApTqoY9QZh/fxYUE2qVLPwMXEWNRrduuRNk9SVo9Iax0QCRZMu4jgNzStFKooYwFV
dJ1OvC6URZ8hJBLDMvy218+aCvOfaimED7gAdKWZ9NHHk2+gLh0XoWbVeO+HUltkhz28ZYk/DXmI
Vj2Jqx+lhYNytC4pOIA9QVkiaNgOUArJLCBkPen3bU/hId3cdXAo1H7oR2S1sHIbjZ6d2kAVfIbC
iyGqAFmQ9KCl0U1F91ar1o+yXdQJH8kAATlcOdBYqAClh8DvpgqF6slscTNWUOVU+BViBVG0miPO
p9UQXpZSfJg5M8MVsaXFTmSeozblqlsb/5ddThj+PCdC+LUIIElQHIT5tqMCHGy9mEzz+ySZVREF
XZ/zOoxGEmWXii3Czdsmcar2A8OYyZLAuSZtzkjR80kGNdCOd+7i0hOvozLRPGxGO8V3JC3IyRj1
Qm1yXdniXmTF4q5Kq0oczVtoMb4RAyXTsvGzysg6bIAf2343jtIfLl2TRJMNVElKesGJo2ZTVc7Q
MJu63kWBnfxmyYKkGpyYwnjKBwTDsLhxLoLJk5nIdobRXlyroptFHJKJ9mN/XJsxoRHwWxR3p12i
gcxCvRTjsoAngCvWp1M+R33QtHWmdoPRMd/I0puW96OyLP3QiyKONlx0jIYz+lM7ByruWrMxKRvz
MJZFfKIZ7zaNJeNyHpmKkGM60oTtYq/1E7Ktc1uKm1kOce7dGEum6f3UTbx77bVd5V2hYuj+Xjql
3M2ih7iyQW0tTdp3ZlqK/DhKQRftFiv80gYmt5wloXZL2/ifaZn51X3CajtMG7jK3DyYvhtHEubF
2NLspIuqRvob9AGyUMdR6eXq0lDt5fnxoGrWFslD4le8g5Ynyn0nXi/cDnDphbq2Tt6BQe8U2VaV
qGt92psoTYqLSk55E2+zIe7G4WKUUZymu0iUYy+voorx5lRlIon9HXxF8Tyoh4WgrBetn44miD2h
mm6TRG7J5tMxbr0kPR7TEtUmzM0okGCHOu3l79brlWxP4RyjF4UjB2yhl30N1GWCbub+pN4UTGt8
dPuLXpoWuEcMunoXLrYVzeelbwwbzjLl6pid0MnztA7nTOa9Pp6qjJZFIMWw1kUivRTixFyiqNxO
0YzhQZjJxMj4zTzWY63fZpGXjcVO59xj9Wnez8Yf3qiMy9QEjTErJ6FdJ5P8g46jyFvOhShaaMqb
G6Ts18jaTSLPPR45XVzQtElp8TbLxsyPtmOGRBBvbUo59o6UtW5pHryCsC2JkzltNqTOM+dvqo54
svqdxazCemVWGHPTx37ThA59MDTL/D5FBQmpStYvwf4BWYKmMSumF0kL6cM6oRVXuywZV43xosvx
YdukA51T6jXli6GLfR2asbNwgKUC3jjujCvxXL0XNenkAvU1mcYPakkbYbUioSslRNPVPLQWCZP/
osW06rkSJgM55/Wegym8KvcT8dA0aGianUtTIK1w9OmsmzD1E9l7sKDom/5Dl1V9WkFfXrLY46Rf
BJ1e+5let5zC0vVyreBZWIHjVvM58qbVwZTzVsvL2cO1wpSraoaB4lGUWL8ZsYcBMx7I+CSPc5w3
n8FgJrgmp9qq61yKyPBQjAYEUFDrhEIXT94TLa3BV+rMW4WLuvlRGT28xoVPGNfIRa6/8VbmrzlJ
nXf9pGpv//gXJe+fA1PA8tea1SU2QCsvGT7nqapTd5xWfIbQDVtwIjqIGY9Tco0GPLYmkHtD2WXo
4GrovHsXn1bUzJEMaJ4Ms3pjyt5CSwMrCzzCanBsLgTNEQ0myMm8gt64lAwXCx2T5rPZa9DWiCDk
tb1MCUvRo4W1rdRIT+beX7tzsjft3j1UlBfQjxIp3thKXazCT2pO4KcxdesyiUgULs62ITq5WbxU
9N0ZJOWreveOtPRzj11CyPVbaOpavIdREYd3tV2ybn2vUG8ZF/xiC26F3npEgog8XZjUU30cr4wW
2Y5pbxHT5pGnrNsR9k0HzZrPVMUV3KeVQKwQ3g0Au29aDAfWL2TD+iGG2MdHUZE1HMpFrvuvehUn
401fxEWc7qrYh7MnDacxP8nbWdPunO99Jc1a0+njJ5WbbHDYzpTyHF+CCmCxeFanOer8QJtFkRsg
t8wfNnXjdVUakjaOsLjMEhxW3XRFDW6zAGEAygZmSvpTbeM1nHvUV1zL515l/i4HWJzmM27aYrIn
nbCkLMPCiKIcgqiNQRtSQ3s8n3RNiw+ARllclk2Pf+dHklqSkYIqajAcKS6HvItACowuw+o0ie3w
QVXRhC4gmpfV90eDVJ7tJt4wZBjfJUXvb4sSJbbcTl4VmfZUGpSq6SNRU4Z8ExfW5vnJEz+fdUXi
sl2fFOh372bR4uz7SZ0lUMcxf4yZxvoFFNZGYx4tH3ji27G7afiYjOqk24s+mbiFing9LTkkyuOx
lVu1EIos1zmxqo+CH4cywVetLr7nT/02H6EB2rNV3i5NGT4cHBzPNymoUC9IiwW8shEsr0wAymJW
5WteU4cn1EzXHnaQfQtGbU+yLFQWLtr1VeMidhpHzYLvWPbUW4S2HKxhI0UOvjSiOVrfskTvVIVd
AWJCnpeYGkDSTowpphpx7ndIlVxFM2peOyPTZDt0tqvy+pSvVAHr/RzDjayoYrzu5gJSfhwBzyLv
bIxa59JLw7OVpLQ9yt1rnUdcde8EaKw52k5R5s3JTo21LNoNqAuw/IEGCaQ+iZhTtOQohgbGXzyx
QCpVlWvZKGW0uptjjsL59prMOgsmmqck5cPZuMgy0u/ypR+9awcwDVZhqRujPiHfgqT1xnqBBjJB
VhmiuvKQ/J/GFkUKvApkbUo71p+UmZOGfhZToYpLpZp6jnaC2bbz/hhTmk3RFhWNFzJoC/DfXugX
VLsPYCTHvHtP4iaL4zCSM0+mq1ED2zT3ZkiHhn1sIx/UxLHL+6E0oceWNv+wiJ4JG/SoDhOafUot
MKXW0vS0h5eXmWHhgIueHgI9YtQ3bZ4k2duyqTMQxCGOCs6rWI/ppiiGNf+ZOV6zCdD/GrxpW65P
VI/sfZSx9ZqkxMMTczyvD0Yc7ES5Ree+zjbSIqoRyjHQYnS5dDOttxkCdY1KU653nlwWmBKZyEhM
zzACeOTD13TqxaGbZsd1QJkj/ts+0fFog5FUYM/FvESGnY5NtUZ57C0rHdhi6IMPAVjWnTYLgX8L
gvnDJXjLdeeYKeHVp4WkMyhpDVzFu953bFWaLToPsqruxbt8n7DyPdHY4NQevMErmpWEbJ1yQmzK
uGxsFCSN6r3rPpU1ZO5GjEWHs5TFK4xLxIQ19FCs2+ofA86zOepIEMl+DfKarXPbTTVOq0/qaGF5
Gsikrcpym2QFonG3Vwh44DXp5ThciO8VLfWy84TxQvs/IL4OGnpwOcgP8GCG5KboN7Ry0mGGAL6a
XSfWKuxax/GEaBgt0mzjiTWCigHESxIMabPu/Qfd3fPebl1erYMTsh63x/oHja3rJ+uNrQZVtU+N
GThg7AJ9ACLp5aUOCHREE8HUEWuBssK/aqXevpqYj37e+BGg5BcfIflkbdjUkRBvtMHMChlZJatR
+zSDha1wAiZ7So4v7+U5zYejbvAfn2IoqXC+AH7Onu8lGjgDfZvF1wZTNfUplXTF422LPzrYLhbQ
+Ud6/nZBHH4EcaB8w0AumgNeMU8coUVJoqtmqlAo4hwV/1TPOdLcU2S/LCBdabt/j3dWCcHdEqkx
zGUU46iDBaciE3HVFerqKWOMybKS9rPis5S7SbT+sMvqaHHv+pHP2absqzWfc4fU4LWLQD36wY6e
ezp2hFbKNyhe2kgckz4ci82GeKOeeXNV7INqBK5DjE99HiGvp/6QwgSJ6Nf5sOEoDoAWXrJuJKt5
0y/h0KCz38mSW0mCCallDpHqGzyO+IjoZTpz9JPhuJ9n1fs0+7IQazh8pVXsH9MSAYfBeRQBAu6A
fhvnZUrdIvMTXXkul6EuS80/KQf7/shjvl0K5wJ8DJxwbhY90WFklhEr5z5W8cm+cg4SzTzEZk2J
j5elOhgF4dtxQsNgdryeYDMKieB5OFSkS6Jsqs0dycCqPnkBU/mKbBwv1+5n9IeqDEkpHNOBdgWI
+aAAcmrDjleTvslGgpj9wb72R0S+UjgoN6jA4OAO4YhEHOZ+vjNCMN7QadIeu4WRpN0yOa1D/R5/
YtfbP9qlwlw4tG0MitIEZbSg6Qo6GXe0PEfRw9GgOLR5DQLlggm08ORtGck4ticzSqy0l9GU5nSa
w4hhcvOxbZoS3YTLmKiabVn0C+tCYolqy43vJBirCz5Ry9Vbsx+L5QqYnr+JqpI20+s8TgaDozz9
oFIKaiHDEZIT4HWdlpvCy2q4yFOd1x5eS4J8X50BdH3kXPWYDfaIPX/U5piUDBkQHdZaTceBecCF
lvmA2xXroW4gFdXrS94W6+TO20OEGjNG2I3UPl3SIG+7ki5B1TpTpRtV6yLrgy/MQYPqkwRPeOAR
iGBANUK/S+OvtVA3AwgaQPRcsW3tWyxZ5gDnwxkB6Z/GYTGVLdoS0OJFVtxwoEfDL9XcGVGfZop4
a0/dDg505bxvZ8w4t7zZJHlfgr0EkaFB1gdZ0vk2Cr3exiMpg4bjVBN7axpT63EbN0rI5r2czbDY
96Dt18EQoBRh6tJ2Lbj492kN0jbewM8xld8lrqE0C0sK7PbHjA6u9c+kmkb2icpp7vxLsE9R/a4y
JsvZNqtaj6ChJGg7uhBHzDCS3lZ2hm0348QWNwfEQ4M/hEA4VPrhLOZovMhN27VLgKnumKIpNb7D
eDFNSHssSNGNnxUp8znZRAK4tQpKXZXu9woEhtcH/n5y9YRkG4yVY3Xhl0h/2a5KCsV6gNFHuAL+
eIVbc9WtuXvvGsUjqKp0kaPzcQYHS+pgcESVFMd3YquxDZbnLBhzbzDvkQutf11Xxit2ZSpjGSRx
PF7LOZXZZk7H6DgVAz9JCV9OSzcNJyAE7JV2ioWTkcmlTruCgHod3PsITn0iYmnbANGXfM5cXfwe
k9RuJkMjtHQF747RM4KZYZU892vyyeYIx2qs1YUa03qjRZLAusRzu0xPYpvZtH+zZEVHtgC33daf
CS/gsaq8S+r+mlFRnzvhxefl0HZb2YLJxXmO+GSwvdkkZvTf6TppMB6v0/u0baJNkdRxMIuq2sjI
NGf+wsrdHFUYpla1FPhqf65CkVV6N+IrT320NZ/dZPtjHB+I7huTF8f5RIslmE0md0lG7HUtQHEH
BZiONvC4jW/GafFvC6+S6Ij78v3os3RLWEfOBDFJGljP4xcCbNfOdS3+pCHT0TtwcCmO/XTc3FNM
TNAW0JpeDSxL0l09V96WtmV31Q4CfTtSwaadp/6Mt27OA1mOfhhpEyX+7+nAzHyKQX5/1zKR0a3t
6w7dQlomczDgz8Ee/E7qcuNFnjsrDab6G0G77N008BztRmnPZdvRJoz8xN6SrK0vJi3Ieavo6qGR
XEeR8TCeTUCFr4nOh1OQyN5ZmvOEbXxkv3s6jrwKlsWnCbrP2vs41s340HjeFLKULrdtm1mGwXyN
Y43L0sJzk6IuAhw8cv2mXsZ8OlN93MQBoXV6OVONRIzOJBxGXvAzHH4v6jM3NW7H6p6dy6KcAhCm
H+Q435E+ii4FRfgMbd9twNCRNIinctAbOVu+FbqrLutEuI9zPQHaEEyJ4zbocxwlyEOdxrIOvJ6L
Wwx4bcBZUR1b9NsBI2X3bqJV/q5N5i4P866Lb5pkbn53U12yoJn6KYyoq7Mgw/4wuPRBXSHwpmQJ
xeSPbw1rkyKsliG7zcp6CTArKT/g7++aoK4H+s6Aiz+tmfPD3pHoTKSVuG19NV1koM0HsPeix6JR
F0S916Cx6+ML5Xs2DQqam1vnAVNvfMCcLJBZ27xVo8p3SPRKhSZd9ElHbfIWx11wRGJM3A2zVX08
9BM9zupB3Toe3YxoN2+Wplz846YWc5A1ZfwwQyHHSaf7fgs0NV93zsgocKLB4DOPu4Akw3CqTF4f
N4BzNIh1a25M1ZnPfKr5+8xF9vOwDMtDDwffDNqy1wLz+WOCSrFppqa7BkzzAjlWw4Xn2vzTQmx1
zAsa4YATWNnLZCYCtWxCRiJZ6oNWkbk60ZhvhHVbZce57N0Njkhx7H9gZ5RUfJcp3n4EvdW8NVXi
TuhcmOuydMt53GbNdtJIuegmy/SyEqQ7c70Y31Zt5N473xd3PB+QHFgzD5diLhE8oIbeUN7155PT
42k6TtyC/vCr40iVYoMuEyc/wR6Y08Vz0UUUJe7dwvzkxsfByY/N4nfvUfDjEwSbfr1Qr8NRIJXu
ChPJCwyKKQ+70hQbf5krDn931W6JPfs2B5P9Np5s3YQ4YEF2bsyaj3XXixg96rJcOCP6c5z3ydFk
l/Z9zBdTImeX05br3D+hGJ2FQ72IN/4QcxDczrv3IoajXBezFEtqwrmc0BNsdA9m2L/IJR90tyX4
vx6KLihMHV2MXh2/BVlRXHpirj4UnbvFOzH40pR+aEsgmKzX2eVkMpxilDVNz4yt2afei/oxLJKR
vMaJmf4mZcPQHCes4CI0CdXnIrLO3xlSVuasTPx6g3GoWIIBY+ONb5ZSB9nSmSEoeVRdWg9j8/PZ
azR0rcjYuYvGDJiX0MnR8bQSTfmGT8J7pyuT1qGaXGK3iandVRanQ7nF5HROzsv/Ze9Mm+O2uSz8
i/gWuIKsmpoPXLrVLamtxZZlf0F5CwCCC7iAAPjr53ScZGy/M0nN96lKUuVYLbGbIHDvPc85kmqU
dTAPKcBCxsLgSLdl2Z98PsxGHK+lB6mLySFeQeFTGy1XZ4XWdu6qkKJyqdLesO0eQ4d2qWIT8reW
7qOvRtJld6DeWFjbECXi7Yp+dn1JJZqoGfvIrNc0Q+HEB9A5N9ua0XMaOTK0b/fYs2grvZtIYc4R
NjtyyhMM1o9T54e5FtuSmuci4KoFyMK7Yi7ngPFOVUFSuGcZAz4pI5F0j6MPg/1o0a+1FaFTRO5s
0bqhimaMw+9ph+20Bme21yMGROc2WmUFd506r4F3S/um80FW7DE+/oG4vsa4o1dX2ElHaf9mXZM2
X2uftVkXYU69jHgecqiElQl91DdJaDpxpwREzrIfMC2t9tVNQxn3HvoJNa26GWSSjg23qb1XEtPG
unXS3cQcvuU6y4mgmCy1c3hSfNZQ9UxKfRlZiMjZGq2XIC0crfqWJUtJExVjooXR10uog/nrVqA0
iWfto+M4sjBu+CYiE1Uo4UQwVpC4QXTZkorsyQfJSFGYmdzLrsJOuuILRhJIJ79gE5ryrBG602XK
p9AVjeppSEWjIzem6X0YbJl5B020ZzftlCef+LZ93HfB33GhP/JCp22JNqF/tkAkGpaz+UhweBBs
EtkMFYnut52PusscS3PYxFxUetK7LiloR132fdo/z0OX1fOc+dLkMsH+uq39l5Wz/UDHDmoYd+we
Ql1OqtAtdqp3HDbJQ7GI+JmCw5lruWFkgvWABQNSW9qv4ajVo56GJW8WSvndMg7js5mWlTfG8Y2d
MHzltAx6V5z6sZ3qaJi6g5pYCvSahE2xivFWsTS4j5RLbiMN7W/kCzTgAm1RHUVs+zQYao67i6Ku
JBSHcE2KbVoaHWbjBRieXU96tqwsFktcNSneVkm2bLoswp4BxQRXaE5LhjfXeMyKn3eGrAYG+Xg6
tpCp6hkPpS13r+YLTnkc/jJTXS1b1Be4BPaEU0ceDC2yygxavLSShx8xwHIHsC/FcSRFf6Catg9B
S+Zq6zPxSob+XdcCqOJo3A40Yu2H0UbrWKbxOH6ICZvPJoqZK9ns2rySmDGemY7wpjnBoFi6rUIT
Hr9p0ZacNxvKL0rE9KNiPHxVYWzvNgigdaqn8RRj8vqCGXakrnua02Xckuk+YyxG3YrN8boIky+J
ujbpfuivp7aLls/jlgey6TIJPREz2TE7Dekgx2qZpVsh2ewjZm7UtmEVd9hHyiyQbXrf6SX6LIRY
VRl1uIay7ajIK4XvW2GKhDUhvE5PfWYiWqOF37oZtZbi516P63uNrk1USscx+YiD185lEeR2uwlW
ldWrboMbOaXRu6v8fgj3TZlS+kC/SVPXfjZbrnE8oPM8jIYBKhpZGt9BAZtvtQebUc4cJc2dW4z+
rKLVyWrBtG4r5da5L+vq8azgoUSfZjSGgV83iD9bCWFra4Z2i8+Y9XKQR9LtKOZBX35LQGKyQ0/F
ept49G9lgHJkrTs2BWkTTD3QWbJv6cu6dN0HqjdXqSVe6o4EE7kYS8NniFR5AbgGNVyZrVZ0R4ui
6ozdb7CNm4RoUcoVKD0BQwTjJRY2DCrDrkCb70mqm1lvAPUBdmARVYnoRZuo7cBBPkxFr6pWoUib
m2sbu1XMTzJCTR0PbH8dFjOoN9EY2qVGV8EUtrQiG3ddzaHhnT8GJGqH5E1mYpaXKpxk/KkDfRkM
1RbkrmUH6E7KkXslxmwsKnTbLtGl2UW/mIriwE19LSAD5V1pAEUnvh42z3p163OGkU61GDRg+qHb
MLWKSwdaujCH2ehJvnKukpHXFo8K1Ai4hOJhLjc3jdl64KjVhpMRJuh/W6bFbWkjgBH1Q5NOkKye
GYkgYRw1eKN1qGefBKR9aI1WuA9JAOrItACCMUrfQIvj7X/rg4ISfI5LO/i60MKlr+mcRuL5+8wz
0Ne5/doV1wljFDKnb2GFvSrgkN2vcgKew51+5QkjLjsCT97xvE3hUsgPRlsRiHLIMYAL0Nmy1mY4
IrAdry9GYKCQ360oKN2FtAXxSWX4YiZ13CES4W7hyGvH9nOcm2Hr67RbjR9uY4O3t5fIqYqipQI7
EvfsOV5TLbMmA+8p4zMxZvIjcB65osZB78Cng9Z5i/04WMdaAea5j8BEoXTXBXZMX0gUUXlylCvt
vdcYZm4YSMoKZJLpbNLwwSWya7QFuFJgdjCM+d2O0i9vWNBlDGLSxgptyjCZiqShfo+TI+Sz/kXn
pnsXAFJZy2iEKa5MDJ6dBtBG/5UMClUWIHIxq2bMlkLU2wzcw5V7NEHD2zPjf4fVz4Xk2wMcSdsN
xqnybiQsrlSUmfs29L5vdNyDedoK6Kk66J7bwll6mlDC0TIetE9KN1g1HOeVAAZ0ubYDPC6b+qp3
whS21qRnZYZz1NRrvPunRQbWoUAIugYVKDpE1uo0Pc5ZsvY163P3OdiZ87oMuZ3Cp1xJldaIZBu+
zAQ6cLm0G1qDYQ82dCNzG4oG5cS83BiRqu0rD9x14oKKOhqqXQl+gH9sY8GhN2EOxiWaiqFiJBnH
JvFkuQmXkX7oti7BwJKyiI8VBooyRYdK/XLp84yYOiKpWV9BEIA+AAoKWK0CGjFtKJDCCHgOhlsX
js67L5MJdfi9g27lShsr2lCVdeeALyOIcJPCowBETfcgICJvljof0gLKTrCKI/B/3BjqeFDGQNRu
Jt1NbWUwMPu8Q/fH2mDFownIiPe560MWavfgcbPrpGB50bRAFL4FYIAwPGw1vwuwDS8f0Vxa8Ujb
fr5WXXEkb1DBZOc5oan8jC0y9sd4S9qn0cbsHrQh/8rnEJ98bncH6osZTEb2XbpSS2Lf5S41D3bu
BN4C7HUQWWk/YjelPZh/lRZPIcaHtC7a0Z5CDC1kbYGYvLdxAn9jqpbkZkjaFpTfnD5PjI+HNRrI
azYvYVlQ4Hxi7naA7svuS9iI/AVez0jWkVk2eKO6AZx5IbdiO/FsBuS1DDuoSs6sw+UW3ZUwQDdc
6YH66AChBXIliWF4rPkWb9h6A9gGZLlqCkov5suEomDwy31stLnjUbjlNUm5pgfwBPqtdXQFvLsO
eJcQ1enHZBY5L3sU4G+m4FrxLnmSDyVqai/LTLECVIeapKhxoLcAmDAuedh7TADKPdM6a9QGTq2O
SS+bfXJ4DU9BpYG+6HW9xfo3u4ihidjiKrum/gPFbrHdunWYdd1NW/60pPNq8OPSdEJDIDEF6qPx
Pu5YdJuLTlHQNsz35Ryy4jYIRPTZd1KdXaCXByBvbQWUKvoEc4kZYK6jha9kurRzRW0ifW2sb5ey
m/OVNUbIvMP+O8fdbRtGPj2smU1fAia0u2BypWIMA8bel53uww+yADhQ9uAZLiNADdJQm3o0BUUE
c8DESNo3fdiKtyp1s61wbqKqQ31ei3ie8uvnlr2xscUYOo5Gdsm7Pn6dACvwcjPdh3jpx9d5HccS
CQeYPQJMBG/ENyz5bv7AA0s4aisXVAEqj/vZwCWzYO7yceAmOM0tHup6loq+Wc06ntd0gmVipuoO
cwF6EzCSv2BiLCmWAc8+62iPG5eQ5WmbfXRSy7hGVbvl9lqtkR4EyoARD12W/GaJxZDVexGgcOpl
4Y5DGm3dE1y8sp4x3KpnLPWkmuLUNChfwtvBjwKInQ1fBfPutWBrWOrFEDgQU9X0ecd+A51L6iRN
1nc5yv1jmLDw8wiQ+5XgJWkZOHxwIOdfYV3J7x208qPeVjx1ufkEznd90IZ4VubrSEI8B/tDwQOF
iiZM+iPOg3lAm7HEdU7BeODVd3aK5vcthh117tCoTPA676UT4fgS5F3y3Io46asEU/2T1kMI/yeA
RRXHX7zB9H9ulMY8aP6MA0r1Ww0pGWagV3S0Y6+f5mQZk/TN2ooJu/yS51fEZ57gy4bW7nzbT9Aa
oNuNbxIPIsUfbQTLQ1THI3GrOBEj+nY/gYf26zsmnU2/pEMyqpt2zPs1qVgykzWo8y1N7IzNSwEK
gdYGzKAtQpmRGvxauKNszImX1ayymbiT8Q5TzDKLXHpIksHmH7NhWLGpTFp1rsM+lgqS1qjzIPfX
gc84BxeSAFUC1YsyHnCSh0cbDw1o8CQFUSn0+I1MgadLDW0XvFuzaOuVAOoiuQJ0ozm7sthYgxNk
EN7ynUyPW5yvaGFk7LJ5fhlzy7a2hp6Zo++D80a69tK242LGerFILwobomOzTJ+N2rfQl/guWvrK
jglKsnLXAjvDDYPbsC0qTKyv7yTJOCm6o+Buo9N7E/A9SkvJcoW/A1JOM3cbrAsa5tvWL6zLKkeK
nG6Hv5fnfhZ0oRoCWCCQDq/GU7h7r4b/HwV9jMrylQC2/9aP+mrF2b4jGXE6zNB1FyoSA4JqIy6A
X0C2kOj+4QJ+FtWvFwBdG15ThHNAJYQo9PMFyNTDysMl/aq+X0D/HZToVdFhxQUjdLHvSukf+QkP
35XH7zkAX0YNIwgXfyS7/vXH/3w79vjn98zR//6f/3GNmf3zFf95/2ei7N9+1fHbeA2gWH79ouvV
/PW9cDF/XN01Q+GnP/xbnMP/EtjwPaD2f/nLn9IcfkoZ+THNAekmwDn+skP/W5xD9UOc5ff8jGtK
wvdX/RHmECIfMIxhYCFXV/A1m+7PMIcAaXb/SggIATxEvzvAYOj5I80BQbYkhIZ7zb2BLx9W8r8C
HWJEQMT4hggczAEVAC34vwQ6/KKBo+xFREAEZgtECIHDJvkFT1nBsuvJGHcZbAxnsMVJWI4xyOFK
Ubs9ZkHqz63bBtUQotYP65hs71SyOGBQxTC9/+HT+2OZ/RgvEf78bP1+NQkCC65LnECYz64Wpx9g
mWTwWhXCbJdoGsILV/vASkNHNPRuWwHybjYxH+imA1nOfb5OFdggHAXgjGmC05MOX4t1JW/wPQQK
264L34GnyMOjz1L2LQTm7P7hWYx+4RWun18Cowj4FgBdJI9+8ZElEqMJcHjrBSA/53UGO8K7LcGp
cVipH1M4el3Y1pKiB95phtLIKxIfe5zDIUZC4/pVuGUJKxnotMYoekQ31AsCrWxOFQjfsRUPymCy
jAZnqSGKFC+LmG5hXUhdg7yL7F7OYuuPf38f/v02YIshFDciw9qA6+jn20B9gAZGd8sFft3iZeR5
GJWJirA09GDcg3Vz8axZ2L3+/Y/9eWNLCcaQMF9SJDhjLeI/18v64e5j2MUTvfDhMuR7eAGYbS4Q
8IG6M/Hy9z/pukX+wFf8/pMK+JqumBOsPfkv60wPAPsmzNYvkGuTT3DmzN2RrbmPSqVFQyYww1VM
fD5WEOJs/0+L5ldKCe8SPssUER3I4cXu8MuPB2gjcYBAsaGTSuHwNuknhWzX7gi3wNKgARhLT3Dr
j7abLMQ4NdJvmCDA6FH45M5lmAFUsW0x3W+hsL/D1DiKa5F7/00Hm65JANmhSiHBzTcIeNrNP4Ez
/36jkNiBbQM4EBxpOAt/vlEkM+mQpiy4Dw3rP0kUzrwMA7UOSRl7mGjPVkj1GWw4tNZ9AkOLQ11W
aEPobyvd97HyglOUYO32TYK8/LqlWtDz399ioFW/3mSY17CIrimI8Byl9Grw+mE5ZXMuCTDq+L5N
gNsVeb0WYj9ebUXFYd2MAfc5kcet96lBOIWgGFwNxyWa9bFLNAzN3dQ/aaTSuJJ2lr+3bT+e/ILC
SqeTfgedLK8ZwNDKjG0r4RCM0RqxdhkuVgcLGinU3JyHRVui4wdEFG2iv4Ge0j1FLX/g0Mdc2Rk6
XVY2vV2jPojrbIvwQUofYW9IzL6XxObtXSfS/AMjmN6KLA/vdpQ/RWWJQBWLNS9PQT6jObI+3+vQ
pkG9t+6LXqBFGlCp6Bz7lR7YMpkTQjmit5NAfs+R0SCU5S4U+1zAR4YR5jAFH00PHV1j/HoCdq1P
4VR0X+WmMzz3ca+eZcEcLTfUjueZzaby+BxQzUfFG+gFrkHNOh3C0IVb04HQg2Bn4bmptkiwpl/i
GVPR4o1gEIpr0MPrDY6ayFbwDmSo7Wn36noibqO50M8pJlJHU7RBBC613z/l2Tg3C3HtfthUzg8B
iupPGK3b34BA6bQCsERMOfBo4we3tiMeDmsbzzeTH+aRibpb4/5mwJeCtUzmER80FPSyXdo2wFzE
Au0aU7eXydqxKl6DocfARjX8SuU92jhMarnMoGVarKT1EK+2WI4upu4uwwChY2AJp7XvS6gxELu+
CiaiaP+w2MBdhwfFjK18/BL5vl3jGbNMYzS5rGoFU4Th1LQfgU+tDByKBIrQRt34TBBCcGp9HJvK
4B4wCDKkwABFQNusB8ZwHq6dslMD2z4n1dytIXsjJpKBLFCeWlF71xXrXbasMVaUZWO42MrgLDxk
gWjZmw2PTsarKdfo+8MYqQOHoZNzUaLoxsilcVAnqoAVYYF+gAGFBmzGYJQQBQI0DrajXd8sDFXB
IR14v1f5nmLHHCIFVb8Xc9ABV/B8ecA0DIjxyGX+W2A2KklNxmgFfJOb/JJCAWTnIaYrTdtqcMu0
+5uFYHeDWMUFBSW+bPt0KOZlkAffZb2/IcvS6yqNMACoqEt9d5zhEQsq3NbofaD7PawxDlZ9jX9J
8AbySAAaYh2G923fF/0pnou1axT446fdrDHEdYzSwlthxUIHiGuRWI9s3vTwjMM4PqOzidTBaFxB
M64d35s8dDsaktZre9/n4GeaAI/KDDIrNOcZqV1dzVnMTU0R/6NLSRfUJwMymfZvaDKLDPrJCm0J
blkxnUIikxtU8iqrAC9NcS1HyerdMIWu2M66gJ3OtkkVg4HeMYho9+CWsC45hJqBIKCioLoJkQEy
noQMLW9UkQi48/F1ZVhgfIHlw8GGOisx9IVeEXyc0a97GDfwHEWXcEd0iCzzLQnit76zkblkuvBj
PaCvvU/NgCOJA3nECwoM0eMDvI3h8AFKyCDOE/xe7rDYdJe3sFevb5M2Sj+ljmEgmodYvPB5gHNr
lmyXuHiQXeABY/jKK7SGjYS370NnLSqLlrfbM9o2+1nPIoYyYjlrcoQVQaPNGb5P2o1wdw7zFl6g
PcXJ47Km4dtwhcJQ2gwG0mqFJ841cBK18maGhAcpnWJm+UYGtHgZyHRdnG07LUfaLWJ5cD5Z84pM
FvdG2AEXNoK5CG9xghUvaK6xunvsknOdh4UbT+tSsOihnUHVPEX5UCQnl7TW3K9uvRafwruHVAWZ
a0bb40eP475DHIj6dQcYQq9v/nrpFvsTrguDpUuSDngXZoIRpBRqVHtVqA2Pju64ko8DrI8QTQ2q
Ao6/w54arYN4M4WJx6wj1oLgdsNcbe77QGBuKImZIBMCQ48bv03g6PBniNp4R9hAIJJc6+R16F8g
mxRnAMcyL+EeVFgXUJ8/2QEaALSM1j/FqyPLLUeZ296OGl6x5xynxXEZSHiZCj59QJhFNl0dajI6
jzkvzC3SSjCz8jOdIG6Ccz7qCB/rVbr3X1Sn0gdnFox1JyQPqfc26/lyA7m0/w3uqOseIqdO1OgD
8riRoNGWg0YizPuAsP7QW80xPk6wzfnZiicJ6vEWmlSb1mk0R7BtdGmC40hExcuMVBzedNGAx2QP
WFyckmEMp289NmR/zkMsqQakC9ZIm0JgOUBy2RocMna6DWcTZRUrunXDSRtvBKX31H6cC2CEgUeZ
ft6LdQ6/AmvzC0LmQrqBmonwrVwfXmEoC1r5pHFbbBVgYAMX8rat985TiAnbMpU5XW6SHkONm91e
IUfo0ct+1J0ax/shc8ldsGJg34hp6LdbDhutqPJ06cVbVCLLVwJ+FaQjlctWKrFYjIntlk84Bfz0
3EHgl6/huMf5VgLGUf6dXsFS4JsBAGoETMz8HDBtPwtOgg3WxSVTJwna+9EtAduPMzR02cjdYJHK
aG3jB6e6Pb30mb4K9Xoj2X0SChCIHtXN0lhwBUBy80FeFUXaY+9Ylq4JXezmeusA5Bx3ONBxqYnj
tPYMIkTFNGTx9xidhm9bMWOt4aQrXrDW++VhKAYkVplIFzBv9QKAgzMf4M61eVgqtdF3KZR8W1uw
zQlQqw4ZAhNDqhAOd6zoRssYdxONg3d3Ml7VeEdnLeIHUClddoJVHnqTdC7g92oOtK37BfJeiWrM
rPddx3D9M+xwh0XkSgB7JeTkpwTPvc+ALyOhRND736vS/5+k/E9p4X8MWb7nWyLo74cC/t9GKX9m
iP/3GAWziOtL/pqjZP9CRA442gjhmOhJUe1/D8X8fY5yzRwDHY3GGlYbtCN/zlGyf8F3AsofEiy2
vx+DMZMQv5UGyXU0RoQasrhI8X+ZoyCz+5duI03iNKNphGMphsvj10GAWsyurCnkQwtbBmaWMUIc
EK3CFbzFTCfJI3yg83IcOzLMB/a9tLLXMkuxbbTuMsVQvUqqJnVF0tQaP4kcKVjufQrYXpEqU3Nf
Yoirbvg+EPuwdhP52hNtQZVQFEg52heRw/tqwpHD0SgilW/HsUh4g1KjPfftEP4W80EgIOGaixDA
A1a5LOdnqpIJYY98rxzK8KcUx/OR7+Nex0WHWYrCUKKCE94g/wGqrCr3Ts+Y0MZJ8A6M/Ge42EXd
p0FbDnFBL5nY5Enue3vnVCJPdEvNR9uaqEmIBuQ1D5l4mun1eVtG5x82A4ddjUagn5tY4x2XudlX
YD5Tp+uCCHE7MQUeAdT9ym32WdptfbdsmWgvYM+CepGavpEzSRAFIJGCWHWZh6uVoqErWeEA3i1k
lR5g0Qo5H3fCvzI/DmUAuscAWGP8GbMQBp8z0i9U5XH5J4lwoNvdOveaSBmmxyxx5MSHeGuKDMpc
BeNsHx4oYjJ5SWWs3/vZAUjmE3A6zJv7c4ATcyyDNNcoh9mev8mVpRDmugRLot1l1JbUiWWv23RZ
5jrrqP8AeX7KHvBOAOhAvu9dDdnP1TjcUUKRGURa0IrfYEFJGsGlullkglQQDgQtnaSpzSjo47Rj
2y0HoXgNo9f4qBAqcvYjECzST+Ej8DPbAAbIzizBjKdEY5J9tbC61w6WEYSwhOC4hB97AQwTwQ3I
MBoCfZdwJBvek8EgDeuMEt/muipSsFh5gw8i0VW/iUE/JGoS4wkVZZhAm5SeD6VAABk6nn5J7ixT
SDxAMglmnQDjQoxG6n7Hp/doFn5VFjAceO71IG1NA1fol27GkL8Edk9qL4oMBRERiLeLnbvKEhFE
5zPiaebiLkOv8LWfqNcVQCFFS2RP9cHdlkqOsyd3oLeCXN5twypuMzbYTxHOGQ1tzZrGa5h2T457
kVYLNHWARLDnixvfdtF4g7zDLoTV1a9hZYGxrjdk7iks7VI+SOfDvRLTBsJmnBHyeBxZThGzpL2E
JNSOoEY109t2B4nZAEgLkrgaBe4mlJh+CysCK9VetsFQ8IdsIHKp5h79971DFOqlW9Kr/ZaaWvCY
e6y4BMd3S3UOSw2Vl2Acu+2wMQZlOA1JNtd9l9vXCL9rDAkUbuLnq9i3oxfeHwsTfAn2YsAzFWSj
Q3HR+vSCUNhlP6wIEgQSgxDPV8dGkpS5N+ItSPdoPMLCMYMWJ0nLgVBBUbrBTuSfAWmgJIZfClWl
7DpEXnREoLClLYtPGCbPv9kgeZeaLL+LIcMiUkFFm76xCgLcaYZEWOc6CJFmt5D7HSbAR0hWeB6h
9LSIzuLYzVIDFEz5qQWNF+fnNsg9sDN00+7OhXa8pTHU8Ro/SR3znC1NF3IAeBL3ajxwvbc1wnni
x0B7sh1iOOfrrGij2zEbiibOW1RHgUQ6D2I+XPhW7xDyYb+IcJ9VwtvP80QBtEOFw1St2z5g6AA8
YR6TBM8alKk6aDHW6cMMmtzMeVJ1SALDyE4sfL7FFyTAWAJwJGUaZdrzMsv3XpyTJUiRaecTmmpS
th5ZwLUz6OIjBPXyMs1mHpfIJNxugmmOx4atvQWNPoLTTe7RXhoU7APr3oaexy+b3d8nWMIrnNIO
/QfCdKKbLLf0MUtlWPOV+XqN0F3SYgCYNOxr1HQBEmgqkP/uaWBLcun6yABJRk5neG8xbrzf1z1r
j/k0xq/T6l45vNJIkMkk+ulQouyqto2s6KS39tp2XHuY3YfLUw/CCGkQOL/4Y+g2NqObSzqPPr7/
o61Pfm/ywdPY/JLkKvw+Sv3/euqf6qkQdcbf1VP3Eg40/KO1/FHRQlTD9XV/FFV5/i+YZBFvhZIl
TkMUUX8VVQV+Acb1t/r8XjL9UU3FmAPjILjGisf4ZUxwJ1/FqQTWXorh659K209yInLU/wfd55dJ
7XU4GxVx8vv4nyDEBlf446TWkDUX6yb4Ccjcfk/6GeROayHyJFA0wxrhPvMXZ7bpC1AM9g9zYkhd
P1du+OmQ+UK0mAhYu9pbf/npkgIIVXpRJ6zm/Z5CdToE0YJObe+x36arIDfrBKt0GWHM0Zbh5FVS
bjgt7kYkMb3bmQFNCZoYk7YRknwHItiPM+q6yD3MMlE1zlr9YdcK7BX4LmmQgCWpN2BVdNTE4brf
I1GL3OAqr6M+dFvqghN1+0bbHA38JCVcVQKJJXi24uzpKsxXyBtxx9xa94Asgf2gY+FhAkjYGXNM
fG7Z4IY7XGaKjRWBfJ9iRLgekCKs6sFgtOiNb8MyE0kw6JvOI992fg7ZboJz7kCIlj7AXfoKpwXP
DragQfRCNiRYNb3hmBOgDw3SD4JgUCTRjYKtvh3XWOUxRs2Ttg9TRI2Aoz+3/AKQROSHUfmQP2FU
mR1Ip/opKSXvSX6IAD+ROhD4NQcnnHD4Sh5ipvXqENo+HDMMNGEHQZwCTKLA/OBHWijHjDtHv1uF
Kgu57Mo+Y4Rm5TTwz/3u+ZsNslszkr0DlYjA9ytoN+Wvu3Fr0AwhqA07TPRosr1e8ScEzWzzl7Sd
tgvNWzSriiCnpsvi8BFl2lhbxrbXuXsscoAH/dyT+3DJuyOYWz2Dhaq2Lptukfh0mKAxPExCRVgw
miKhwYBzDnzBHrfMu3dKp1fcBdY2itlZBXoGSD/Qv2/B4NqnfFkd0rEc2voigJMTldJpRfjQB9SH
cOMgORsK4jygcx/WM7rgmygMuyfRtepxA0aFwWUAPQV5lscgtNkZdPzJFf4txcgMFU1RLJ/TMWRP
vRK0dnEsYU/I+gb2k/6Wkm4B3gEtQeyyezdu2VBOQSiOMOsUXzKuJlDPbG4fNsSQwCsQpohBw9F6
KaA3wA7XhsF5EBle5clAHpGIBuhlQhIjvGZv/4u989iOHMm27K/0D6AWhBnE1AGXFE5NRkywGILQ
0qC//m1kVr6KZEQHu6qnNa2sINzhgNm1e8/ZJ9Vq85NtR3XkmyL7mtDoebLpOQcC2dwuzENxjBDZ
oJ+cimNrjd/DULmvy5Sh2K+BVdPcibpXpMtbimacT/EoGNCNF4OI5TlHeb6D32gVwOZCMB+RyI6V
Z9hXYeUYnyboL4jsSiT7Jtp9TK85/prZ83tRqQdkKNHZGiX9cuTBFyM9vOsckM6hiGp5W8P+uu6H
On1pyjj9xC+a76epty76askPfVnW19ki8q911NmhH7aRc2KOtdw0kiZS0TVuUCS1AVCodp27Oe0g
N+GPZFmxpuTKnVvr1lt0GysMr8Qhn9pQ29RugqHWjqxz7/bqcsBe8Tyt1QcTNbxHyI+Tqy7Omoc+
68f7JLHrk5VF5VabEu9TJeb0qR3s7qKTlacBF3BSKMrOYu4MgNqoX73wWAPa2XeQewPkwsxFmkG+
yaFt9sBw5+cpRdsfedqxzOri2MnwKse6FoR9rG9Gj2GzUUZH06svZnxztMusTU2z/xtCaBNCa5kf
dGqGTSnriuGOGmjLYzc1Y33C3WE3X2qsvRc0XHGKCaRLdinG27SSzXWMOfWAT9K6BY02v/RVsnyV
oTHcckPCM4ax/pm2ouEPYsSNzvQtqIopPYy5SPe1SOlGAu7KHiGA5Xt+dt4WbWRk4GT1N0uzu/0C
uVhtppDe6ESzbdMULUxKYyih1RSz7aeM5WhiSfNtWf0mG9jUHAt1euCeSXkIQfEqDosbBGnetVmZ
0cvqQ98vKFthOs3asEGJpV/ZSaZfeV3mUZkX5u08DajEDTV7l1AK872XT+e86fGEGryop76PRLAI
j4FKOHbTETN+dKpBtwaRa6Pr6q3yqm86dKMWS02ZlxeaLdOT2Qjj3p6hkPnUp6GvGnv+Gqfj1PKl
3TbZ9MyzDpCQmi+IOreTnmYn9hJvGzaV+TntOZdzrsj3DafaB6NN1V3E6OXa7NDman2zoLOfs+ZR
lb13PUlnuRpUrb3WVQ+hxDDGuzypMBLw9jiX5TjO32atgtueRY08lKUcEQIXwz5UxnA9gFY/mbRj
d27SNE8jatAbhjVhMIth2SMFi2/Z2epPttdXX9yudN5mOh45DgYGyZDzvmGZTbciWTygcfVurNz+
AnuXDBxiPQgT4XOCB1Da0TUyhq66yodXfH9GzrART61vL1p6ymPRPIUwgraVU1dHVxZJ6Es7zd5K
EHg7hbvnGZa0bW/xChRfrChy92WDNamH8XQxuKW2yVEXHgETH7w+wxaER4z9JGdKeN0J3TunbqGu
Mo6HWwSI1amptO4q7DRMYSKT10zJho02lP0z6iDcbbU3KPwiKLg3yhr72zpS6OA1b/6uW33ebzzY
PuXG4x5f5GOngR2V9qcmqVh6Mq0SoAe1tFwX7drGixyGW8C31dnJSus60cOSZWmYg8zNZ2OThtLd
Ox1psTwTY2L5pofJlnZ15U+V475mOiJrYFSvAg/clRaV8t6NsA3TsrIuR1TZLIOzeYPNTgdEU16t
P+CpyS1jv3S9P8wgFby0Ma96t0uPkVmhmo1LCkGAdI+O2w2YUjHeN00l95oN6Iipq7V1bTbHPEOz
jEStPs6Ak27RsYmvHdLobmN09YJWd/DuDZnW5Mcoc4e433iQYRoLv9BqcZOFzeoLGybvNo9KZ4/M
oGISbl3iUhv52QuhXzW6cdUJm9FqZ9KgSLTme9zT294AevQOYdc4Bwcqha9yhSc3nNVNTUPrJpvr
5pAyuD1MKPn8RTJUHMfFW0CRtc4ztYD5gHAgxdMmLefNLbT+U1G5chdm9Ytscuh6qXdrma1K+X56
R90xuurAMIRWeYpg9DTWrYZPzVRMLoUNrNXRmuVrUrcFWiqsr9gmp0BWbG8zM24eTaHQ1TJBoX+e
7YyEzbq3Mwiuo9s6WAXx4qY+Pbb+mnFjE6imZdLVFudhHOjJhIsu9ux35Y7BUsYAXJt3GgL2g1nl
7hklDjMr3Uk+UaDZykdbTwEyh4e+TkM/ijPPxK3fGtkRt4fh82TnN2NVD7Hfiill8qhXlK/MeLeZ
lo13CD7RGSzWeLT1uTx3WTPynlh2y8PhoVNsl3grEBDtM51lBVEjxTRmxAmJuamP94OeR496VuWP
ABbcHWAtkiJk2DTnOuu8iyWzqVYiGR5pQPXFhnYUNrOsYgdjdBkek35ol2CKrPSUdh6Wg2QwEmxd
kVcdioZO0XerSB3lZZsMOpiLeQ3jTAhZJpg6tz3JPG7QuSnrSoh2vvaa1gjw4q39xmY6QQlfthGF
/8tiuxepsB8imx5Vb2K3TnCI4wM+FZljfE6gcGzaOc/9JrQ9SrLCfsFfZh4homEZGWMLSqSGn9Ba
Xtt4/pI42q1b42Hx4sEO8gW2gGoS3a+6ctzrliZ8nDb+xBHhIsmNYkuOwiM/C1PV2cV6rDAsWznF
jZYnZ9wI1pWS4pOh6PUhleuhJuMuxHXd+nWRc2NWKGlerO4Hy0Lh54jyRASOtSuRSKBFYkiWDOd4
FuaThX0z8+mbwb2x6VWvRgV/AfbrhxndK4zCdCaQXjvuxMgvSa1Ps2ZO+zTB+lV47h4nuHOmJ5z5
tV1mVyWP36umnC2i1fCh6JR9qFHz4xymARQXeRIM0Sh8HMZscySzHGnoujt0NguO+FDSNOmZaFdd
dE0MBjs7STpnqfPlUjdnctUVnBPqtvNhvKjNDyfm/6djKcwqC3yTQEWE2HI9OP4gIIpDgcwAC+sx
hatLCTc54aldXFZp2Wc2QK+SEym1VMmWrWfB7y/+TmPFqdQ2bWh+0JDQaBneu4svSYmBdqmTozFV
7dcFNtdlneQxrWQvu/v9pd5pGNdLWQb0KWM9/SKTf3cpBBQpJuOCSzG8Lbe8I6D9SrLDvv/+Ou+S
qZjOcCFmLR4NBzhkP1Hf4ODPgq5mdOzrcN7FsJSPdj/RniJr7gYGfeZdDl5MXMAsitfaiVbtyhLF
Z/wZ6+E6ZEa6/eMj/bd/9EH/CDc2v/JvlM2wAdrXb/+bX77O8P78N3/N43QkyhgN/oiIJA5u1TD+
NY/TSR6UK14PUL9nSod2z1/zOANdM80mRMdo8pBE/9BRspnHGWRI0UxiBzX+vXncH/kNPyo817zp
NVOU3BqLB+89skwv4loHL61dYPtpUm9HJ4ve9ks7eKJsT6le0PXZZJ7rxuneUXQ65SXjrgLuUkHU
lNMxeZhFTR8dA1pmXZUamlUM7ZjZ2H5YRfM2Ufs+S7sp3GduIpPkUkbjgPFq4X8N+wNwU671qMth
bJZoE/VFP8WXxlBgIeKU4joa4xENzcBg48U/wQGj15NZY57MeIvCQf/EOGKNYbE7oAD3hEoQbbR1
RUSj142nPvbOSdJt12oNClHhQsnyUewAqsn7lhSLDV0nBlqAi1B5/bkw/vet+eCtIVRjZSb+31+b
HW9N8q848/Wt+ee/+avjqv+DP6Ezk2HqvL4a/3ptXIfEVdNee5EmT7/l8G781XjltdFZnT2Gxha8
fYsV/J+NWDwE0kSHS9gcMnTT9uT/VyPW5mWhEcsbSEnOq/r3HS9CArG4nPgOJgyPzs+z9YxKUeZd
in5tQIJnKC8zG9Z4QNni/ntbHp1pNP8uiwndRXa/9+GSuOMXYGdTtx97c9g6c2FTv5t5MIOSO/zw
s/xia+de1j8sD39eynOljgQcwNJ7wF5rpYNhFLLbC6MF5GYa8LNVXDMgMpr/4FtxKz3LRvZt06H9
+z1dDDinsxAduLgpQTa6NEHbgVzqJuejWLFVd/3+W5HXoQsapqsKYe2z/1CwrIVflktuoJcw0R5m
Ey1Zb79NFJhRGaa+U1nQJUOWBWTvlf/7W/quivjjljJGoFvEU4ww9N337KYYHETddTiQhL0BPxzT
bxXNvxfkyFWIKDJMVndh431y3l1FRa6lhibs9y1gbRC1Zok7XE6NM2zTukBm/fsv9c4J8cflmEij
6YAehFFn/dI/3FHZYGWPja7fRzMDtzhrv0NVfXOjqtgANmWezF7w+yv+fBtBzZpsm2uuIaPbd4aS
MKaj4VrA2VJdSg6oXs6P5VV/1j1YqH49cVlv09+fFK6CMhv/m85+tk52fvxeog9hfzVZTzNmIGJJ
0y4J4jjPBqU+rl35wXf61V388WrvfjT8T9DPyMnZuwPThZCxQTQU6OjTNZvV87oNpd+X39/Gd2lI
8o9fbo1HlOh7mFC9X8rmGJIhxAHYfLEtzqIS+VMETe0IosI90P3Ngr65c4bZ9ZtcqG823ZQT1I5D
H7UVKDFv2FKZjpt2dOqv02Rpx9kW3sakgXC/whFBkkTMIJrlg4XJ+MXvj6nQ0Q1iHcGgvn/iXBXZ
ZoV9c5+MOFA3QhuRNEyTHLa0kFc6Nii7Gsh7YHH3tmY+ic90eqcbAAD1tYOfy6fd7p0Zd0UfvAvy
lx+N9Xl9w6nk39uCUo+YOITeHR6KGDt3LAPMR7BwXLtDrxOpR+D9UJtGGwBYlS/lCfRoe4lwfMiC
YuoGwAkM9oWCSYLteGOhYg7C0iVi0Yzmi6g322uT1t0RIRVBcvjiA7yrJOBAaXvqkTA/dXCBfA81
NG0IzdlZeP43g9W6276aTl3WktWm5b3fhdIjRIjkMpE9IiVU15mYrc1sLdmutXqc+1p3rjxnOTSJ
A/VQYH6emEZcMqDRnzX6Cvu0zLSVjf6WzdZdh7GVZmyUHZD8dGf+crn7/dP68wvi8sRaOAQFTNqf
BqDAS2Qvx/VHV/G1lvUxpif9aCTTA/Koetv3YC7/gyuijwUhxPCV9ebvC4DXTgMkn6zbt2F4pG2w
qii+eqW4bC3U/uhYX35/vZ83XFc6rDbU/SsR+r08TkXewPm97/aoH2paeGI8RoAZtq7ZzsHvL/Xz
Y+qSBWubOrI/HbX/+t9/WLOjXg7piLVuT/SMvKi0xjhWY+98cAN/eRUCsSlTUL5zD/9+FaDWWtEB
0qfD2ertBl6gdkBt7978/su8N2iyjvFtXMbTVIu0Wt5PpzOU+4Zdr4aTyagCjBzpzp4KnIaKECQR
KjJ6LB583bFw5bjPCKP3lciSj5YllADvNgysq/Qh5MoPx9T6bluilwtmb3DgvE70OkdcKTusCd1O
jB3SQ0ss4miUwMZavfqeV6NzR4D3uI+kPlyR/mmdsMB8GHj3y8+0CjixU3rUrO+2lUhoGp0BS+1h
IpRHvZVbT6dZtJRdcx0qtHcxOMBPOdp8H6L+fO5Xgzk5vYC23bLCoZF/JxJiuM5cplTL+LnHcMS4
vavvZ+J0NnWXyIMky+RUzlAD9e6j4sL85RdgdgKMnRBY9Kl/f4boLHvF7I7c1Hi+i1qn3vWjiB5j
VjG/RogUME3R/cKxO3astjjh9Hh1E+eBZABv7aGEPjiYYYshwLutFqd6cMXyfZEhuXZu7O0Q0M/B
mKUae0WXEyAEQeSDp/Odk/GPp3MVT/z1Dd69BWMH4CeqZrWftTQ6hcjMYFFMZZBqetAhZtxYPafm
NNWRhs2Dvw6aP3gPrV/fRFen5QDz3Xn/urszawkWPrVi1mi797krv1BW3ThCcRb29G9I5aZnes7x
V8ykXT9EPrjWOIDvSl82UjtTV1XQIhJeuZdjsXHMvvaR0ur7SUJ0Qf9mfJ9Lw2CpdO4dK9tKgvEC
W/OeoSIxlR6kfqlJIz8sVfXqDDozOi4UQRP0a5xi8oN7/nPpBpYHwZ+gQlhTbN/dcgk6HBIUC0KT
5s9liOwjzQNtgQNXLdL6oE78xbJNE5IGCnU9f/h9pqQCt1y2LDr7OirfPJy47NpDuhGYoD640no2
+XtFytcyVx+1wFCNZOPv7wLInB56jeRJaqMH8HPRM8F4a2dj5jRBhiZ+BN3W3BOpoR9lp/9i97V1
gYqJXi9n8/e9oi5KGuB5MKx7dLjYgG8mp7kDyfqWO90Xjrz2BxvU+z7o+tbY6IxQ0AK+IBLi3U8I
CkxNScIjyzG8vOst6p45tIK5jAcfRcN37C8PVZJPQTTXFDfCTfwBgWHA9OSDt+eXDxO9OnYWOkw/
qdaTvhskmE61H92qC/QaJY3Av0i0TRX5Mk7ffr9e/GLTtDHw8TMbnL1/6jQjxMwi+mD8yEim91Ft
hP5CStYHZ8Rf3l+DTgZPEreX/v3fn6VUGVEFRVvtOSOT4jVMwMFKNPl26GrHESuqHzEVC8icy7dj
GBWwcIwc06N2sQA0+uB9/flQjsecUyGHcuHQy3/3Y49zL5dYZXwYxE5otx38Ju0CTXaO/KgAx1er
otzHTmciH+v1D14r41dvMNUQN3sdYoj3z1oHHdO0GAzuZ0PEX2qn1eQG1Fd3VkjbsQ3bFUxl2J46
+MzZQzs22E0u0YjU0NSRVTPHGRmdXg2xBbzQ7Lre8AGqq2+/fzJ+8TFJsWMkwKtPnfM+iyFGoj3L
0m729hS2u17gzxKq8bbU8skHt+QXl8LhJBwPDAAMjfe9nyQ1VN1gWEMMExZvwpqd26WMC5RStv4f
fC1qUJJu7LWl9tOqVpf10tWuaPbSTNpbkNL2rpqd8IKUv9ff38BfLGJcibYIJSKW/PfnRnMJI0Tn
XCmxkPiEXVnfFxFMf3Y3fORTIVBuAEz//UV/eSs5XwsydAxBW//vL1oU6bCxY9ns8RoOfiGZCCZp
YQa4GD4axkG3+XmHoNLQ6enT1bdYsf5+MRemYx8tBo+IaHXSsecZDHwSi3EJMFKWzP9bZQY2NTkz
WGsYtR0nx37aLrhQi9vCRVe+TSx6jMdQzfmTWQ94D2FQukDacyClGyYF8WuFhf4qYyindlGco/dU
qPGAMPKVLN+xKxzY3iBHYzcCsZgvpBZ7+wT/47IFt4AZIELo/mD3Jspp7B7S3BGgOdlbCzKk+eJB
WS2+2yRtMM+qOcHEF1MMrXxFebXxo8orYz7m4PeglCdGQRSUXhunYsHCtld9NqhrWTCxvRK4RcJb
W2HEXSe42ohbEtz4tOmFlxH0hJs0Ys5eSidArlARIIdE4X6AsswEs9SqA3G+oFXmqDXho8bJUwFA
D9Qh2rj0SP5VVPtuTw7dbs4wcmyLGl/7ZTpwnES75dVjvldqRE2KqxFBfzXgEb8oNMx19B2K2gzq
Qq7FVUJg9auDFZFpRNhNDHkJm7uv0VY4e9yc6Xwzhs5wD1S57bZQsT3njmRfF6jvPET9kSJ22jXu
5CU7AcYMTn8dLYsPbt/bly1b1DYP1/YfgRsM9xsl3UfAXAzN86KykNrEA1KYupaHwu1v6fPuekAT
zyBw85dcc/W7jpjGTVik00HD8LG1Gu/c5/MqPdlNsVPeEUCwQWqIrRpXyx4F40jkTlbglxhO1jCP
vlmr1zQjFk72Zhj06WTtsEl/E5Y2bgfsonyG1tnbatS3nkjsvfCWakPFjO8D28eFEvX0xenwNwoE
uZvSGV6XxpaHwYJFMEzzRib5E/igrY328kZ6WKQAwic3TIkWv9cT48It8vgK2AGiLgcGBTKSp2mx
5F5qxm2SwGtB1xgeQ09k/pRmPUWFcvycXSJQyllu4YMdm07gJFhmSFpLdobTiltctKdsmshD0TMA
8x2z7xTMLkSgjHwZK4bPnLg3oSvuMCCjDBzdeLcs7eLPWtcHoQnCeqF0vQPwXX8uXaVflrHjBnPX
2MGkd+2brTWlr3WgSlwa1nunquSxzfFqOmQnHkkBNY8kRbpbmhQnE2YPhC1jl8n5pcDq/FIm4cGR
4j7p5xfs5uV21AEUtn34UgAHbnkDC/c49A7SF410DKgHDwz6wpMKLaJgosrd6qlA3MVcbiNSDzQj
54Y7kkeHmyZqoRH2E/uipS4B+uImmnDIzxqZFohaDq7VJQcS6qBJFO7wJhRSC/JE4AgHKDS7ZYYG
0pRAlTZUmi0+9irxuoesIgl0Y/LwPBcM/KfAaThHsJmySKRRP36quffXzchTlhLcscEncdR7ksu1
qqugYS4uCmuYnhMvxDbEgzirS3ceo1F9QhjtKGC+ZijGLFiU2X7SDGunpxFkBw35Ub1Hv119nZwl
qw9Wlpt9UCAgAtZeQaC61BBJouh23Dba5PMgtRPtWV3RpG2w0rfcKYwxZR6goxweYrr6N2aemg9h
UWbJcUztdithWFwbo4nMO8GbsgGzi2wmUfoXWw+pJ+nv1ltn0fOLmk32a6fcyN7mqAv8dJSJdTlN
Ci3FkIVvHs393qcKwJdbMwENltmdHpkzFW9t3a4S40IZn4EKtAFHNHn2SrNeIY1jgKl/3ndULA/u
LNJPg+LvzJgngTaYzWlBvuQnUymOEHnUM104xiCpivE/DT1PAtr65oUw5uZrU4tsl01a8+I08ETJ
e+jyo4XNf5fgZH5mlgppxanGMbBDWXRBv6zCkNzUJMJxlP6RbUs/peA6Yu5H+L+KGziVeu0u49xU
HCBU8//vINI+NeG44iSw7BAgHo1h4mO1ajy/YDR4rAnEWZ9BbTxFRIvfM87OEe20PUAUbqf2BISA
r+istKyLyFz4qHY2PA3m1I9X5CpH58RFhVzp9XJVdQQiiFjwV6062Qs9se+HzpTLhkqkOdl1HJ/x
dtefad2ZWxpn8hy1vKqkARXLbumnDAHmtAp+IK+f87weiAOWCLB5iRpeKn5dmvDNKWNwfsZ3WX9p
h6iFwIt2TyXc7yTNZjDB5bx3Ccg9aK2YoXiazW0t2/oL+RdlC9d7qYcga9Jkz51NDnIq+LMasCmj
Fc2pNlLvckGP+qWb6/ZliLmvi+M0XysjahtG7kgIsQAU4QmW+rzvvU5980Ylz2JptBGzhhedJ4b0
NfUuoaLf4HEIFG/YTi3ycayRfI5Lg225DkgbiHycCE0DOjNGkuv2fag2BJcbD7Uxy3Miq/Cxxvp5
bcu++mxHdhZ0UGvRJcL5MTaDSxEpe8vcRkQon2bST4II+AkuAb48WMHp0UV/CMczTA5Wzb+udS06
915jLygCSNjelLrLxMJq8mObrTSNzqOJEyTZGJ6w6/F/CAfP3RBolHdButRVv1l4z2ljlep5nmla
Y0JV35xISD8M5/xotN36lPdx3TNzMeU90TnDk6i6ntCiig+ZI6i6I04Vo0ga2/eat6D6r8sxPhPo
WhobhWbiJW+W6ca1Vf+kI4u+S9af22xD91KmeAsaMXChDJWh5zgruUOr4rNQ3DU3jecbPdLmN32p
kr02ra4UmvbhHbgOcWz0uLy0rZG/WC3ZHSX79IjxUn1bRrAkpwWdRbzVyPp5c/CpQDfu43D11hqK
eCNbG0vf1ioUdiJdClyAmh3eiZgj16buVTMfiwGvMN+dJ2nBXMfSawueNNasGAdBWhnIYpfqRgNo
DyJ8zvmtdRLpSYGxKoRdnureKlfjzDToBXTfYmzekD0bTyICJzCMyvhuDyksKV695pbVYnmrzLQm
ntwsESm3qey/gzNYJL+Zw7Nf19wWm51c7fUxM9qNTcn7sJi5dud1OquZYw/fp9ptbomlp/HfmPV1
N8z1J4Dpza3RudGZ2MBk33m9C5TIBROk4hWHgIbtSCxH94xdaPVhaK5ija+yQh4riC9vVNTOFWfi
cFf3IU5ytAQOfdPOwtUdWu7nRbnddVjU0X4gre0g0NIeG7bNS6sVWb+RTpTc2ELVO9hp6hFqPIbc
JX7roor/SdV1HYRDbX2RXgSFtIa3Ugs09KZFdIccLHtvcL82TDRFkHUt7yFApvnOKNrphiIEvLBI
wyczXw2VWnWPpuVqcFgSITIknGWIhBjBQZEM6p5gqJJVX9Qtl8Vbr494EWEFsW5YC+N1PdGuJhug
fznL8N4OzeroTUkfsegWy8YoGTY2eOSOMulOwzyTwMC7eaVHY3tZRs4qiixJPjMtSkCP8R8t1FdP
YqbMnHK6y6rB+gZN+4RQEy30DFlwsVSzLW2jxjwvLqYpFc/U23B1CbD+QjI8c6aqI1NLM48NvhSm
ZTEF6ZBW8zP6yehOL+Nx50z1wa7yJvAwvUWbpKkOQKpf6f8Vn7LCWVY+FTcJD3HEQs8Jx3dQ0sUr
nV8dM00n7yTUsOoXot6pvmfwZfSQl+dxvMFzCdk8TdV932g2S50X3fWKi/QydG568CIbGtMzQPBQ
vIIMsp+ARuWHJHGeJlRSe9qlMXUgpRw44JmooGSMrxKXxk1lmMfQWowvsR6OO5Ie9H2HgzxwE1Si
48DLqOq4A1tPqzCaZ/uC4kI8p0KCFJ6qHa8TC3CVcjqN7MbDI+F5b8QxmM9TLYxrr/AWVAuFeICo
j86ZGnYnWbsuilDlT4Z0nNt54FeSAyzKnUNduCH0DWLiNNXfF0ZNpo87J7luUh6DpCSKHP1miQOj
rud4Iwqs+lONd5UBwsbDIuv3jk1BjwX4NZ2n7BSN5QEdc06ShdAuqzmdbhfdfO4AWu14FcHcLimF
msQZEzr9dSFk+AjShTJDDLuMJTDF0tMld66ONplcDPdCzcnKZo+3scyRIlutPBe1JAs2Hj2DoUW+
HOe5Gq5sUAolNZqW8cLZ5amOJnJtUgtwAxSolQzUlhxLiVbkNWKGNlzBXE5fClPYe2nQgKe1Rlhd
s9S0NPpEm2488h4uZ5rZnOqcgSyOvsUa4o2JficdcWpTZzqEQ+cPrsqu0J9VF6qEiaZEheeBAQ9Z
dqpDuob43VbpwZg078VjZso557WtyhX5JRcibQlVgUcYuxsAOMYLkKX2WJnOF2Oxv4dt1XymYs0/
53CvWbQU8IgcHpk19NG2c/ridoaiH+TwsRl6e6h/SYmJURTr0wGu05CciKEbRTA4ukLBnxmAo0ho
rs4a6UYwD2anOtO+qQBguGlETjWZ4QvPqExJEU/LW7Nxi1s7oY+8SYix2Kfx2H3Llal/KVUaf4Pm
jXzZxCB/blABnCQO/nvU0JjqWyoefreEQw6ua7JGcMJZx7x22VE8AsXZLemdLbmBYzSiIXmswsR8
oD7mZJoVsThF2aS+FRmsT9Urmghq7ou3TJR0FdTShZ91lRpfiFJlp68ELCmFCeWzmZE14osw0QjY
WUL1TZO1VmxMRIXOdslkeZ83EwuDiqex2jlRN1Q74Y10NJAZ8njE2N9wN5bQ5GK7hyfmETLzGQ8w
/8arp7wNnNQjekCAHqghdxAgEgyKTwkhCblUUKLScjjETFw0TUSpLpJFdpwb9XIwYn+s8TXsKF75
y4uGWPwoRtqPQSyIwN7jUKUE6JiQgm+dCu8yjXVBJHxbULTmoc2vpBHvbROk2Yefh3YAABH10MY3
YM2KN7MnnGPTNxbe31FY3uc/b6YctAiIBuPJxF+UjjLNMZap2nCeqPaWJyOfXFCVQdxYmwJQ+8p7
iX6s3OdJSrsHZUHCAZNgvENt0AU6m42cjB2ZhfJiBsR+L0cUFfyEzFv9MWz4fpkj6Ye0tZ6lFwoV
w7AvZoQfV97QDW+DTW9005uwK69sHJMP2TyY+xJ34HMBc/Q2c7yGVLfa1R/AJqn5MNGGD8+i50sf
zEHnM1KV86mTEgIM7ayp1Jj/kYDt85vw7tL7j+eAvgx3cQBs3bFImOpbwumF9O6RinhWg/qegDHE
Yta34M16r0hSoGMJAUO5zvuzGfk5l0NJ/+80wotdfRMdFZ2MRZ0eAUfQRCEjLU9ZXBIo/LxTHLjZ
hNm//KJfIy5KAkSgVy6Qbc/xQPBKs5aQuVPiqcnRBj4aqW5um7zST8yk28NYYOYrIne6RMuUPBEt
NT6Ophj+bKv/V4P6gQbVspFH/tCl/Ymk9Pxddf/nKWmjpEzoIf8LqPTPf/lPJarj/AN5kW2jKTUQ
CyLl/l8Bt2v+g5mUh8LuXyrtvwTcOiJVHf454mqQS/bahP2nEtVy/mGg3kZRaVOfr9Clf0eJarvv
essCvwWCSbTWDnIDPuX73jI7T16mUXxUhdNfUIxLGBl03C5gJwp6qx2bHIYU446UejoDFCg6AWiE
IxnjgdVUI7ws7J1dy+n7nkkcCEMr954St4MgvwaLkV/mVRfVJJtdbxcIMqcslkcVLg7zh7QPF596
ZaR/4cpcbnD02cHgQSKRdTEdmlCcSpfMYyw/a8uJpuWjUcIJ3AyyRaNkp/R6xydDsdqtKg0wAd2w
wuLoLybDOhwXaX8bjZVx6qp1J5hKNTLs0PIBr03Y3Ek2qUv+iVHTTHfII6q02ySsUxVQDo2H1mqA
doxzSfCRpT8vbTtc4IqaHwAcWbu5VfGN6YFdo7ZZv3nObrQ1CzsJEiPNd0jwB+g841zcRzG56JTp
wHMU/9nRG+OCrIHHKgNeHbndcOWKeecOOb7LRq/IG6mGiEaj6O6zOnVuQItatyE0aTYbuxUG442e
b5y72hJ4PSpUKg6xpdcOb4BxW8BnzgJLEXZAGBD7meY4JCdYz7AV6wON9ktH0D40+vgcucvQwTEC
whM4UP58IbF/U8kt4rLTWg4gqkST6doLSURFd/DGsnsUak6pvOCWbLXBRB8KRZXgEFVKfg/ZX0K2
OXSp/ilhDQt6vss2C7unsJx16qH2cc6IUfJwsn8moHI+GXHtMIB240Bm8+oCkwE2rOiO87BVUopU
+ZVL5sM1ln5MfNgHYmdTF5V9jnpl06bVQuAGzvApbENMwU2VbmVkT5fYer53JlwfypbFxp6bRDfL
mKrT5GG2T23LR4Y8XaK2C4lDteksl1p4a1jdC9QjzlOdkx1jHITRxdjp+XA7sbc3r+Bo1Gd9bPq3
hHHmrU1xeZH+D3vnttw2kmXtV5kH+NGROAO3JMGzKImSJUs3CNmycQYSiUMCePr56O6Ov9o9MxV1
3xflqAjLIgkCmbn3XutbSWs/0aDGk+jWw9nt8Ayv+7HikmmOh3eDJd410JoLRn0jsrT44dTVu691
0zHNqdvDmEO0KRkp3bPxmSR9qTl4C5J0eF6IrWZuGpeR18aI7pYKldpeOIObb9nhGceUuITfU0hi
8H4J85Hwh8jbIsFHcdzlW46wWVRRVnejeBwx1tNCS8VZMgWw15PJfGOU1oN2zbelC9+EGlZKgKhX
5J3KfehlMlw7ftqqHTZEaycSy3t14+A5ieUPYQ0xqhPSIiOF+nvvluMY3KdgnVd1yDCdJoe1T1hz
rvwGGF5Ivy+Y705MuvSBVNyq42aGD3RL1NLWXRd2S7IL4kkl60HJtwpa+3BV/ezzljoQskMMxww5
lmoLyWDXHjfd6E1bqqvd7NjpoSDion20yFGt9ihvKwCyNPxPhY1FG4q7rMvVJBoXC58dR77dpIe0
is2olb1eeb5hbEzpBa+OAlW96pdTLXxjn/RdivOkBEDqWcbWjWei5sSst5TSt4jgsvg6ufa8qfJW
nxANMULpAcjFs0kUd4eytKA58QhSq4hoQsFgIHadUXnhrEnKbY95YcNYGga5Gx0cqyMJzneauRdX
IF+W57YU7sHFPnlHQ9940ckmHcoTLrgEElVHmZXd+uyTYVMtyRNnm69WPHmbhgndYVriJXL5qRN9
p+bOBArLeQZjNCq6prXEBi2k7R8KbwxYqVT7aIfKfkYll649D3hE6gKCWM9ymXexQU29DsuieFvy
cECX4uuT65gwt9X4XhaklqXjkE70L+jBImo1V9MyXsolmX/Ssxv5W9/fpriQS0hucthNcffdocOy
4XDHTCn1anPTWGI4xJz8AB3F6kyO4jsbC2SUnkZJTeuNpzRuboBdqbW3rqqs/27V7DaR7/jdmeNb
uB0T8ynhgLy3jUqcMoysa1UH+a70Oemmi9p3nBNXJhtsVPtEsZq1Me4tVYuDmH0T3kKRHjztTJFH
LsTJ60nuYccOtp0U1nlAdXmaaj+LyLu5xh5TCL9LsEcjGwyIKMt+Dtk8wJT3AweKMGuvNokPCm2r
PbTEVzKOgvOxwfz9oEyoJc1kzWuXR/SOYPEMd/lE+mIpjfW8FCHw1cw8MsuBAz20p6kig1kQVvXp
NmpC0CB1lNMkPgNXTmjMOulBLeE3qMfVIXHVJxjZIRoK/a2qnCES5myibmW7MVV6CEhy3w+6tDdV
HFxGuopAV+0LYVBU2szuHslzqrbK6C7JnF8H0RmPOs1R63jIghi18jSWl8Snaz15BY2NKUN/uPLG
ztu6NOo3DmmftDvGgcB7Z5q/OMU8r/TAdb2SDJd4xyXv5+Fu7kTSRBY7p1pZ2YRdtqdDAlPR0c0s
Io90AnQcRNYtT1UmQuOr7qxphtDiQ2AHeQaeYSxqpDpwTEpwfX5vmvOeqeeT6ysv35AfzVGmK0rn
MtIC5LZyTRK5c9JxVsJU1Q8mMxMhcMPSkq9oGemGRsXyastheq0IEjr6UFdOA2mou3Y2NHV75U/e
2pyL8SgggrP0l+B+pjHtyRkXBOZVrJhBYXgfcx7kcBeH/DgS1GtDKfOrawD+9ViJqgOd7Ua+H+rt
bAXJZ2sNTJ177T50c9BiO2/Nra162h4VvvkVvGouUDEX0zYVSfLizDFZ9zm6fqJvu1/EaGefqQXW
mVjcYaWbAZcNu9uiqXOlfVKYudOoB3NrdisS4+hps3OJrdvd3PGwtfG3dz5CzKUo0+PcQSBhDNWN
wwGd9nAq08I4GG3rcfCDjl+s0N+ge3cZaGGiXtqMiSECkgaZMwHE6BA3oCrEW+fmKcDDXOTY6FR7
zUOGHwAKoJI0t7k7M9Rpq/CC7LFkg19pi2kUUD4Ys618Nfev9KlChJmhea4AQLhMf6b562Jnztbr
3J3dg4NilMqAHmYbSettAXaia+wR0LehIUJkXRLZlNUXhyBioFKGz8i68qzg4GSOeCVxO0fCT/G2
TgY7KLaYh2oolkUv1iQt9F9ZvJfI5iKdgN18c/yCeGPfFdWKbzRuV2Vxy9oLVZFGuh9o2agBYEjf
M2AhsDat7hlvByY40XSIeje9k66W25CQgDMaaffgpYGEi4D+4bErIV5HnVuXO6dm0BfypR2B07Tj
poQs8DnFQfoecub+Ys2ef4odksPW2Tz6505wNNuQI5uEd5Vw4U8QodVXzIJgbALFS1xnWxoLVKCJ
Vqyy5kWtYZd4b7Z0Rr3uAqn2GZpZ9hIrvCtzgi0sOHLrvs3MD9bT7Jhpw4xg9Xpfx7EA5FAAZoy3
Bhl1xDwIOFtJX6ntXPf2FR6qHbmeJs119osIKCnNxqkaIncax9Pij/oyd4m+dn6hmMvraZ27SJ8a
kkA+CEKG2Gk1Dch1+NPeSppSRa1Fs6xqpmxlYweJDC/1thT0/qdVW9NZdtlyAYIsn6Q2fSw8fpP/
bHqzew5rUX5NTGgHG3fOw2Mzw7/P/FIcBenuW5/7FUZO4j3aS6/hWkAtsRbBCzDCXpm+I6O59k3O
/kgCiN8Y1o0PEoiluaq32pPuLi8NyE+Cs7gMS/3MrNHeGkJFvWzz+ywB0pDn1XjJfd86sUiMGx5A
HhZ/tDiwsPLZhcrWqdFKMqNzL5odsyKLcJzbVYMDnhODk59ALsdRWYmWA1Rffsdm4y57nwzgKGvx
mhHToz+9aiKwV5bhdDdaFqoITare9ldR+5/6/0/qf4RrJsqo/92Devj8SP/Ft/2Pf/FP47aJmRSP
Jy5PqjJyxP6/AxV2+d8s2zbdW/Ue+BTk/6z6MXQLEQphUaa7mB7oFfyj6v+FUUb4xUjEdW8RSPZf
qfqJsfpXkRdmFByuvC0k/djfYO3/q8irMON2cP3Yu9ChMg7AZ6b2ROgl1QI5TjNjqBtYv7DxFonQ
K5+WTLrhN/yCP1LUz0+shra75oF/Jndnei18IztxlpzoVFkkETLT9IKKmrgLmw1Arrm/MihIINon
Wrdf4DnEBhzOrLSrUxFm3W4cyzwHjJtCFdFtGWwZRtaHKp6RguUDSB24dpu6Kh2gV7Bg0GxZVsRB
9LGQQONXudDxubSlPHcDsRezN7ZHK1T6kwSFd6fqg08n7MRbqRt/J2Qm38ErC+rcymP82H3Y5L/y
eekCwgu2FEziOZ32LAvOli/KuNS5ETPQJOEuBbdA20GFVjKSeykHsxrZR0vUKVam83sjTa3XEUg6
Nl4J0ZNyv8tScZ0xkVx7jhIbtKmvpZuFXyZ3mu+nerqR/MPXaSJMfrwRv+yxenRyo90Tb2ddVFWp
w0A24lrkWN8rENYH10uzu9AoP8K+Zb9H+xi5lBanlmS6XdkY47eu8OPDTKb2Fhhw+QP4h4qWPDB/
3NyXxF92Cuiulf0YBovtRmfTV9cMWLiTjI2yJauEAWwZvFsW+5Lr57eIyOa1yqrX1uCla3LoVyLV
1Ns9+dmEPpOCW2QkIUm/AsiiAdbAQBldk95PWD35y4S0nImMPNzuyC/t7aDIZItuDNmwxR4fAIVJ
6vtYd5vR33AkH+2dYJo5Ixic9LDyAHddncIsHkh7XO5jnQowenheU9sid4SDs8urAHRlJu7snLxE
CEfOT/akva48u8jqzuns2XfYs3D1pLF+0KpV27rriBMPnLKGyGT366Ew5M8Q2RtYF+2Yu8rP9Vkt
6AcmMMznPg6QlU2eTj5TBsnrUjJhxLRKrveMpv5kypDZEenMggyKmQOxCmF9qdoS9br14LwmAUN9
e5rxztBzt9CqFO3M7NUnnzZJ4QynFvoWAwA1+4AVnsYKBBvVjsM4fmwbxfEB/H7Lm/JbuHRE3HZf
EkUy1Qr2b/qzGZYmgpoW7v2s8M7KNT69hYO5TTo5hVqcMJZUBhw5ctEBPKNS2fq5CF9xpharUfkn
GSN6I/om3ZYc6L+NnlluKUK870UbL8dlgj+99sbU22nFoF6Zvf5K9pX9YBSxj2Y+iLdkpIbJui70
fGrAE/drwMHNESKVltQaRhrNCDYffJcchuUWoex5eFgIikKHxiDmSrHr7oJSDy/oXhqUdTVK2jwu
jJUfJtnJkAxQXdg3FNAhH4m4K4o5i8AuvDsaeYoa5wgWUI5xMp6jDIDlF9LIJ6hAHKlTV1DThiBX
kGnEd2lQqwePChQKmXrOOLVfQ3vYq9pe7vUgNBRf/4jeMOMszdHzkMWVZlrsNQ8Ibw3EeCY9FhiL
8xN8RHlXdaP1bFkkWjCybjfGrac0aKUPwZyl8aEWof805a21Dmn50AYUd5VvRKJu9GPitOo85zJf
s3iKC4PlmlIFeiXJZTaLQhtuEluLw9Kan6Z2vYt02vqAENg6EOHurTKzq9bMXK3i9iXvFI7RTZzJ
Z8OXxLnOlt0/LWE6/wBiL2l6+jPY7cp5BNpZkctgpiP1iJUS7usWO5RUcsPJHLGntfSnLB2mL3Up
nG0r62TtBaN3J5ifgLFnIQrxbG1ixAtvdnODeaNXXRsEItEM6mdjk3eu98YmuKDGCY0fZt4aqwk+
E/B3Z/iZx0ZDQEvWXOmVmcgYqlXftOIjWSpyUynoNhYBHziZOwO2EorhN2tJ+rOqymvXNMMRVnm9
tpWSJ+QM/cNSu81WT8HyIMwsvO/gmLarnu5y5CSe2lVOQzCaPQWbDlz/ZiA99Ecy12Ok/en7QBj1
umDNLFdxoWFvMRo+p8aN1s+p/VUijF07plyuOJ3DTW833htmCp4N25PIHgMEOVkx3dXpYLBgJagZ
3Mx5L0p6v4HfZhczruvdIhrzQ1cQCad++RIPLOmWnq29O3qSmsKIkQtl5oRKaQkOVVheF2EeOD0A
BVQ07SPKDb7gmkzqjZ+Nj1oWyasxuXgq4L6vZq9OH3JQaxD320S/CGb9x9Bu/WMSpPJXSDJQNp0i
FujFuSP36rosw8OQZOg0SjSDKLuKtcu995yD37uJE1c8EtmuDk1kQ8CBDmFgXIs55FaDZB2sbJtC
AblwsM8mb9jSwi4j5IDArIL4zICv2DVomA6xyANymZCX0Ah1DjxQ6Xao0CclFE0rayoRvgZxdaZn
wfKtY/2RZkLuDBJRTgjR/O+mX5bfFITEi9upx86u3CfkzV/E7GA3DuP2rDVNLNUbyy4Y/CFqXX/8
QqzLcHS96iOn1XBIc7wg1Ic3v/lc7Iel9L0VYSXdkVR34pWzxLkSh9g8LDcxIQJMd+QA/4iUxnpD
+KTPDPahV9pmPL6aWWbsy2V0z5XMYEVm7pYYz3YtLHQhnvMyGTTPBXphGq427LlkLJ/DIJG7AZXa
PVIFsK6dRDjaxj8CwKJrDyr/LuhCRohpV+47DN3n1HH0CZJt8nUMO4ap3dhsoOe1G1hAy08k5s9p
VdfEF+T+UxHzFnqz6EnCoFvg5fYdPdE6Aq36DoLcWFWNg/BQNucSfwmaHfrisel8KduiPrbo8yKH
Ht4Oh3m4zaYiflcEHe/IEVTvk1EDBg4HivvRGg8+8RLb0uveNU1jeqBkMyQU2uDcoaYN6YcxuPNG
zZjnQfwuxzBEjV4kJQHkJ582L9GWDUWRU+J4wvWHHkP45Zfc8OonDlXFqW4DtnrXRAucaTqK9w3F
3A47uLygV9pWni13wSTUHVpCpPeTa+zS3KmAF1rJ2UfoHSkrH/ZJnGeoyJDMgomV0yGFV78l4pqw
mTx319rR753JWovK05U7TWz4vdR+DgVOmceGlOstwRzTxxDEQQkpDr1hXHSeuyoIAapvsxUHeOAy
fa+LVL57eC0Fx9yPKgnjDW/kJ9kC7Tav6pDwRZIHCDIUwRq8II3khSDpNUmUFchSp6jv5GQVa7tw
PMSgVZuSyJ58osGy0Aosmi3NY0zshgI5VJHfc+5d95kot5oB+1bEkh1Ux4QmsQ6s2YQluZR04GPb
ED8D7FGrfi5HEtlw+EM2SiL8EGrF0YN8v7J4hDpa0Bqjg3ECBcyoubaYUvNVv+NBTPbWBPbSrwdC
r5K5K44KQQW0QqPbtLocgLv6sf+1TYWC90QzgzaMePQB8RITNic5IuXe/D5Jv7zHUMGCMFrl2o4L
axvXC6aLp2CKhxwkwRikzfdsqEaU/VVdhtWzP6VF4RzBambFqZ+CsHnW88hVQ9QxGcCWwpqT8ipX
aLVpe5amT2QKo/cN4uiCHCQIexujj/Mew+k8/ZCIbj8Ba9M8wh8KJtBu3olcjem7jfIQz0waVuaI
KxkpYnYcxqC9ayU/3XReQ3A8fYdiVlteEacKwMMNUnFrl/nAd1eJnOpPFQPBbLIpOHgosniCKeYu
/uA9LymSgFYR++GU0PVI7FrkCVqCjtwlVFdQlDYdOkJDDBj/jwLyNPoD2hTEyehh75R9cFsN5g2n
PmvTOBxhLN1BZLwFkkA+p9dZutZJ1B2qoltmSYa2LApuOSYu4Foi5g1eTxSyARUxOq8d8pGJYaKs
ELKYBkmn4MFJxtD5VdOBIl+in9+0G98nkNCTlaCh8DShYNuMeUJXrR8WcQe9nCz7viOZ3i5p1uAC
8QZ0JJLUFXbhHCMF0ZdYAjkjM2mpjlOV589JUBJmzNGTmqkbL3O9JE8VTWImnVzsuIIKZoQ91Re5
DRAZ4lErxDTTGHmDJCQq79qnOK5ET2IfPzosoXsoOlVf+yRkGtya7YtKlfnVRMn5tW6Sl7jyxdmx
UM0g4hDG3rYkYtw6FBiWR3Hyw0o+oWruIC7HsvbvEPE4j3XafviLQi0Gu5n+s5EKohZxO2TrbElI
vBFMl++Lci5fcyHzL0FOck9ghURvzoNp7SiF+i+FGvTniCdgLVG3IWNJ5IZ3VG9zlfMQTqpeVsrr
XRqFLbpQWmyttYHtob8xrkLF1hhut1K3qJ72V2pPHZbZVdH7WYl2QXuN+tWKuoB2nOVjrdK30J/0
Fv+DrzQ7VLdIIHRet8AbYoI8YXwrg2b5kibOLbPe9Phw9syiIZiwvhYsFRZ3vhbrJfeXe2MmhajE
6I6ycCyvJKYGG3vhvqKrDDG2FVjObzFGkpPvOsvgfdZ5bCKLxP9J/Xk7yJquOjMGYyBVi5vaaUmi
kK4euagdTrX2a9ProLoHI9zZmBI8irHWZBdAMk4o2HpIve6WSOJ4y6cx32KXzNDI9x5jM37haMyv
fT3J6XnRRs7+avQUvD2qys72LeYavuXDvrXVpE9cEhVgkUja1FvbndnQsP5/lTN2qdMb04VQV4ZZ
fvtcltX08of2z8PfPdT/VQ/VQ5PVfQdx7DdrtQgETCiixxFtwBhw3d+UFLKddA68V19g/LgbI7TS
lWkRMQ103cDOFifvVmXvxtwCKe5uDUdt3dSMSLO5k8MSdU0P6tXYhSSrFCjn/u8395vK4+/vDUmL
iekbXsfvTJnKHNtaxJa+SKkuvuSsGO+z8fLXXwTDPPZb4YTC//0CuFD6KHpp9GYWBB3+88AT05f9
T0vy7+qhP21JkkX/h2/k3yRJh7LMarxlf1QjwYa8/aN/cvH8v2F9sNA1uES80X3kr/6BkySJBEaN
F9wwH79okjQs/9mXtPgr1EYBLASf33frJv6jL2mDk/SYuDGyZ3QSYjr/K31J73eeJDAusHshzxGR
cXQMw1vf8g9QmczLaN+YXXqcWpNoQC2RxxCk5J1k69PqmSdCgp0hD59k0WKeuNmW6Y2NgYuJv6OA
3CuzgtcRNCVjxsV36KGjedCMFsX0OKDxc3ZmDrLxsQhz9doibXXXCOqTfD3HJdbHkawMTspVwIQH
lr61GpjsOdi0Bu8c5gT/rjqtlsNiLj0imbwJI6oJW0Ujli3yJnSD/60jj2rlBEb7DY61/519edz0
QYhoehFwI8l27Lv1HLhIY0waTdY5tHpi2sLKu9MOatBqHK4dZqet38FnWHGQEzYbu5k9yTyfH6dU
9BeVWBWxQGitI39qDDTqwZS4BAOIhGovl9fSlSNuAFI92ZHnfQIt6mhJlZ1YdndTZimcKk3WECzs
korbpQh2e20VjOwgQm+d3reYwDGfyWxVPpkW1towdd4TPBL3IDvDDeY7+2GwcnUYIXhuUtN6SL2l
22Arg9E9Z1RY5DM92BDKL3atr67gTOuWJQYiOfnpdywDcudAylvTwSpOzE7xCHhTex0Vi/pqSLPk
jmOnc9FpbfPehmU4C81MqGkusVTVz3z0mPdDnNp2LmgcGmHdFW4jqQYx2QgxynkymFuU1PyBbvo1
dAxzpehQMjBxj6OGu+xjanvKVWdf7SmcTrb09UPWCRxTRfoth0j34Tae3rBpnGhNzQgmSGXxsACy
k0sDMc1UPZWqqOh4ld3FsgvyorkiNxnBoyrz/mJMxbAmbLj7UqDGWDmdNV1mbI0byRg9Ml3eqYE7
YXOLfXleYJVWpKoxD17nNaqtW5auiujaEOOVtuI4i+Gz5OeRPTnloz/WqJDxnYZXH+PmY4D2kxZY
nNN+x757cQxamrlkRynwSOzQEdVXBDsAx72hP5Mv55zm0lpJRUQIR/furoGZ+EYfEBCA0fekad0G
uBj1ypZif3Q2bVHoHQd3csHb4eTBqTyK1Lsbx65Fl+0hrmkbRslBPnHuqsuRgEXuQZyoePmG2AAd
vfQvBjsCiXxXMARiG/snZ0SN3LX111kP+UNqq3ujx3cwq5BcPufK2aOM6kB+76Tv34KDXuYbTqa0
uveKjL4tCtx+XleZhRqF7lN9+6bmTwNx0qqBdI8wQrw6QzitRyJi9lKPxp2GtRvFg0w2uXDeWAy7
ewup4dagKw6JM3HJJu2cFwfPE2ZeQvCqGL6OYVs8VsbR58i2Qnj+hm+mjQa/UmhLWouD73HpURJW
fbpqe2BnNeDymBKCGE1EMk4FmY3gNa0l83KdT2uHo9CV2OXyUQZuggCMy4zuwz6A9Zoeq6lcdnUP
yR/LD2GvxeTdOWrEcwD8Xc1OXGxoQGqUGv3LYM7G3mgJm6NpnZIlTf3iaPHE2IJcp01rUhc/zLG2
qzOq50ulgm8NkQGR5y3hc86pcAvdEQ0OQSAPsx1k927afdSOpFuDQgn0uPnhydEFy6hE/94pPvIN
+7tRsrROSVlTglsut7RIyIWonJLzXVo+zCy7q3S6cXIbks/Wfj2/L+R2YqFhfR4H7sFsnub3cEY+
gudFtE+tmp5qgZgygdR7TzwiIMAx5Fz6kBBVcrAlNRHTEofDXukiFuiWvDmQ2IJPjRMbLDxZh9c+
93+SaaPXiYXqXBPuSVMhIAUb7ARlFaz0qonXCFyGicIZFR0TlMwztuaCTzWw+mo7pxgDWNxpZ07D
S1qiiHD2M7mGx6oW6cDeYrTfCwNrEQnNObADspws6gMV4BDMmynYFwMNkPPkKO9xYsN+slXMI1Jo
bj06VaP7tTMzdUyXau7Qmdnut567P1ubQ5vQhzVi38E/Kf1ri32eIsEU6og4KjiSHGBs+zCvE7DH
/WHO7AS13VA+4XS0EcmN+P3TIubGDRedvgHE6KLRcioEn0n6QbCrCCEYK2BLydw758RWREX6jqQd
tmiYjaOk0tX2OJKGMy3Go2Rp/1kXDkdziD76rh+77mGerFZg75spnhezlsQuYMOcVrCKhleBBeaj
VSJ7Y09GBIRI/a6zl+qeHIDwp5jSARt4GdtXA5X/q0EI8qUS/gFOCWOqyvY+3Tp0s1WW2u2wGtyx
jBIc/Qe3GQ8IASokC6Y1b+ZS3caLMVeRRl0avAzj7KLj7MpPA8FJfKwGCzCGJzP9GCNeeGEfCSPJ
3GM7MOI0aP74MgYraZKFpggu/l5Q1TgsRkn8AthhROtE0YMkNTUegLZ3kPTsSr1hGi8udimThLu4
d3zyPqrlEA5t8en0bXGVGrtIV2qLurGODwysqo1ZpDysgPXb+6W1cSqQLR3MKwv9SxXNVkjmEEP9
N1fPxDIFafseODibalIuAKUkYQJhEfXRUZn5+ABngi6O3SnjuyNmOKI4lCBF4UHcDz6G3b1vaPke
JlMdoCGLh4M0e1tv8ixvaZ34Vf7aBplD+mRj99fcYfqGWctuL14vywPPHJ4GlKroUmaHCp93TpKj
r8RbHPaxE9WZKKaNORrubiid7IoyS+wYZJGIxcgC2GRAVhDLMw1fFxM2rS3LP8+6b9H39t7Gkw4R
o+PQbUqLGw7RKEG4oOmjVrjtGlNwHwGzCJ2V2clHc+j6Tcck/FwaI1kUfgw2afJzeeh8h3R2lFfq
DWVlT7MQEbC5BnbUfC1mS9ZRjzemxYDbLj8gd9h3sWD6ZFveNydJwy9+WlcfpMg1WzstUeexxMfV
itT0hiCSsGBFZDArDhn8nLtwcfx3hOblXqakTK6txF1wx9uz/c3XzIn72LRfyGVLyeeu7InGmGL0
WTdkmuLL4H8LIOXBHk/ZfA0IVRnXk5WaH2M44pojw+md6rx/dMOeUVg+WeJtWDhARoRzDtxLokNB
ihDlM2yZK0Vx5SUExzV5/BXWQf1lXnqv29p1Op2GbpipKw0kbIsikb6CenBAa/ggkJyRreUj5Bs3
TVqNeM+MSAeAL+u5Dx+dPhSXwXcSIqkgtdNGk9Y93ivSgU2EjS24drly1eh8g+JpoTdvZPKCJsln
LFdpmsumYZuoKLtMYCxMkkvXW0ukgeQcrLwcd4vj9ptF2iUaXTGcTSaA3oDyLs2tAabM4PlAWmg9
r8auhhQHgv1Lgirhm+c08XZsBPAGvs2lW0vlDHepNRUkndgF2ITYpaWDOSN34FA4+ackZ7heUXzW
K2mkJUuLre8axkavZTyVzzTI0p3IXIP6IB7OipkOXVjQtScUTeE6EZwRyQI9EiNqdNtatcM+yEIo
8yBTi69d4CPBY27MFCDN3D6OpLS8iKnocioMUx418o8zn7A8W4Q+fY+XrN8iT+0BEbTjFgV0fWjL
xN5YxfIqZ0baa9jk6iNhQPNgty3DMZGpw6/S7z/CnT+pki2mYZSu/7tw5/JD/9dbo4o/Vsn/+Ef/
9OyYfwtcpBDodH8VyT7dlH9UyX74Nx8RDlBs1K43jQ4Ysn9WyS6hC7R/EDEgHfoXz44jKLtD8hhM
W9z4nvzCvxDj+VsvxwmAAt+qY5t6HSfQ7+hqc/TaUaCdPfAw05Ur6sS9t5WWl6XUwZ8w9G49qz/g
An+9FhQ5SPFB6DBkuPW8/lCPj50wljYw64MPveGyjLN5yQc7fJm5AmfyB/8invD2eg6uJovlFXXU
v+mSFOds0pcFr1eZSBgR5+HKy6fFvPTTzXrfx0Rc0Z80n7WH/fMP98H/0MH7TRR1e3FoeR7p9nx7
YMF/+7CtITosvQRALghAP6sSWhMzhjE4k0E9XSewmy+xJf7sI/8PlxjhcWDjWaUh4//O28JwmCsd
+CQzVubNpp/2nyN7MYlFGbb9RMx/+QU9nPeCl+PuFcjJfutT5sKYpNWpcJ8i6z/5t6DIGXhKVAW2
8W7Ho/f2f19W89+uq8/8AWoomQtcXOt3TiAHaLEk8TRCV51avJxe3Fn3y9IKgqU0Thja6Jl5CVC7
Hvy5MK9EJtYvtaQcX6egsBEm+Z1/7WcESRxy3WFckRzZnU2K9q+zFfzJXYDz7feb3nfxNfPsAw8K
edidf73payQmCQLrYe9C+3Wejcpy41OXlNDQcACROtkmpj6acN6whXS9az7zDM5XIyzV3qIm9o6/
kBHVLF3WeCiyGBxK7qUOTMKpWgLzMmUpedWjsMoqIj3UvMAr4jq0hQuqaLA6nMWGym7zNGsJthID
7cVQvqGoOEVzksY8Xc3emx7iLES1gPClcb8Foy3xsaqF8UlQtFZ+UrY7PWDvICovw3IS7nMxGvA+
0xCQiLIUt1yct5RofjcbtPKtJTURiVGAUpIx6c4nIt7C0Xmc6lmfKX5KsGRuDugFuCgR1LeFQM0V
zymHnekBjTwm+KJVARyBVr4NgF7eFtxEB28siDFHByzfOCiND6LraL+E7cLyRX5iGOWmcj8CxbAT
MS2W82qM5Zud9tPVICX12e1vGI4lcz/QRlr1oZ7D6c0DOjSs2XkxKJJgNV0HR/FJycvUnA87XjAE
YfViQW9QmyHQ7kc5cB2xu3HdsNA9DyFf2hK04QuIKvcD+td0Jcw+jFpbo50jdrcP1uFkMMvrxni6
/v1eTfMEd3Vqw42/Q/bRfWLqxSjsuHxYax6hYXZ6xBNvqLlIjyF4jepQtEaLYN/DDIoaHDPvazrq
8CWQrKebvhj8KYK/yn0y1p7z0SDMfkuZMD4kLabukGbIiywrtHmY2bkzCLow1g7BsScl6FqubNnA
pR/Q32xG79ecxuogmdBvqNZJUyztdhwUX1KYmgCT0hvPQMvbZ9UORjhCFtT+1/V3pt5d20PgRClk
BeDNRtoxGuaI+Otn+jiuUWKKnHVjSWG5jfIRnOa40UkYbof/Zu/MtttGsiz6RciFCMz9yJkiNcuy
5Rcs2UpjnsfA1/cOOrPKVlY7q/q5qtbKyZZJgkBE3HvP2afpuIFj/Xi4fQbCCx1dGJ4ErrN6PXbT
wFCDge6DBS2ytVa9b5nDqs8Zfd302MlrhyN0JudHCnSAXjRc53Dc5SnhtMy0+YEyT4R5nETvjTM+
UKOMabSCidjTFUunTQP4JnyoOVXn9DUdjq3IcfrwLJdAkX8pmc0BvhvX2P+W5G4iSm362HH5431X
luO+kwTQreCwgbzxRwpEvN3Ab0aH69w91VYYb+cEoEVYBpB3iL5saBIcJ6uxd8CJrRuH2n89jtMh
pJ9xgtYyP7kEpq7jOiQlWhoKqRPT/86LxafOlM2mRpC4IhFU3CJr7x+muOlgp1Alf+6xz9jcX91E
xACy/9Po4VGyfcIzV4NJrODKrBC+twPOEdiiN1C8vCusrejCzBJj7ICh6CxKpEYr7t2uWi0Mcfca
kPkWJDEQvM5A9rPh5g6uKD8Q4AWMxwKE7174bGHpLzfCsD8QwMSsr21eS+GlNyn9T/vQwGIc+Y0W
N12L+YbedAahNBb8y4p1eX5gm+NelmEZJwfXCNmlAQvtVdfXL47og2cqamQ/ZFZj6HDGcX5YiDN5
poEiULWJ+gW1wZwjZ5xe58qPnlPHZcGsZPYE6Dr9iD2HBytQjoWuqEsYxVvW0a8DmMxBEJYbttHq
yXWKLXF55YZJtx3thAWRkvDBBaXj0tXic9EaBg382B78I0U9aYprUXczlhtUKFeutKwvSzQ67hZk
5VUe1OF5MurojsDJ+Bj5wRPoreY579tXVcx69U/Ec1eQEpgSBnxDWcE6D0YvuQqqWn4ejHCY1hT4
lPnB5D1K10enAL/t6FiDgfIOZeKa55JGaKh9ZqDWytt5gC+2W8gILHCJbKoZJ8pqLBDb4eakkWTk
tjOuCissb5i92l9yYfH7a3as9oMTBzL8EvgTrZGmqcNqt/ggjleUMQN5A11mnJEDD1y6gh7p0jvR
J+xq1QH0BHGVsWUi2+uTvYf/IltDu+teaGhxFql7xz9bhEOsMzHytTYBNKQk72wWCzuP2pvW79RR
WalP01uxLRRVWmwMejJvZg5CwQkdlrfMXbhpmoE7pYuQY0azoW+lAQTYJoorcWORoJqsGqI5SGEP
+HNGybtxe5KRcIha1jrPAYeRRUwMIjIjBQeVdOKIxJiSW3C2ouDs5nVSbCKZsd63Y3tQMTra9ehE
XbcnTcc/BzXi3dSveOWUzYRGhQdjpLZ4eddBfb736C8dqpYXtsLFfl1UyoJ/WQK9GKjTlhRwfetP
Zh7f9VPpl6uhnmx8PYO5R5iB3RE5WvdWMg8gntRquSMk0rJXL2d/7Cipp00BchJFUlPRws97x+PE
oKhr9t/flijpOeybOOUkERoG25cHa+bU5G17wD8y3/WjRp+gRmS4kxMqKWlAlh25woU9XwuXGnmN
OKd6mWRTx7fSGXnXSYEqYz2NCy9ZtonyHuymzvGcMkpHmbXK46hhCDT5Jl5NqDC2ezVkHdK2pHHU
I2pN58WNBQurwvN/nuoWX06WDwB+rEFET5PHmIl1M3fP9mL5HeuiJx6Ro5tX9RAb3/oW+FA8TLT7
ec+ccoCTBs8SMaGrU97YyRuEIE9W27A9Re1ckiHi2Znm0yT6ijYkVtP2xRC5HuiYs2G2LFWPof5G
U2Rsr8tQcMflHV+jIRqqBloRZovLFe1gsoVWH5rPwlC2Y3OdOFo+uhZMqkfEcsz91uCWoth/wMoa
uGxVdbDgR/SjRiWazWpE4kPqc1qO9vPUk8sqOG4Q3O1sE5Ne/DrMi2TTTzgfJheJUGEEnEGwM5hX
GbBanJX9CDItBjQZq2YzQ/i9ytOlvubrbx4YmmBdHmPj02wE8Hd6enroFdh6FD7mSGKmVbNn7PJh
cvgcwD2Z5Mcr0wtOtupCtPrWPRTKZGO10bATZiQ27SJw489zc6zGnlC8PhcPpc0SQy639kuMJBbT
nOxXvVtk34zEdhDkVOEBbiqa4L5Bb8gTOK1ZFb7RDPlm5Oo2mMkS4b7mYDA05i14RPPWKegrjWax
djtVHObBabacjcNHFKFql7KJbtIGx9Jsw9kze/t6lkN5z7fNvlzO+RU7X7G3C63v1sMqnyCyKMiv
h8zu6GrG6tZEdfShNtzhpa2kdVONTIDWVmRygJybfQ5vYeOOd1YhHjj5lVtpTOY3B7DhlR5YJckK
FX1KFk7pTXboH4x0+d1pXL4Qe+AR3jmONcUb6Ct5xUHbGGtYqSFdOzWMegWBtwWXiVDjPUbQCiOo
JFfYUk19jaeUm7SIWW0SVHrNesGfH8JXyGP644x3MHJz7P6bUlxXHT+V4iQtUnA4ricFLYj3ZT8Z
t2nAjldjcb0c+scZEU+rD76/Ltf+Uv0wCCBpgl4GZb9N4fZz9ROEMdLcqq8POdw/kq0Bhzw19Jxz
WvyiOmHYp3S5LIe/fl1dXb/7fAhnkCCg/rGJ53lXdVGS5xbjk/owp7n72htFeyi6OZ93qIhYv6qi
VA+uG7MWN6M+5f761d/h420+NLIHqmIecN7EewyK6mB+TcKtDujgKEDIyQVyqlddRoCs9n2E0HJl
1mAJLH3yJmKPxf3yFv7bsfvbjh1diB++rb/oWm5+H19/TnuUQL/5kX947WziHm0QVSY6FAEF/h/9
OiFxtv3ZoCNK1fQsD+aiTYGPW/+fMhZ6d1r8YnLHS0nzz/1PGnRErf58L5skEeiXoYNFtSz/ooSK
e3sey7a2rj2Sg57VZDNVtoTRrpwlZwoCxoRtoK6uIAM1glF1M2Luj7rt5Po5M5iu4cBkDvKTEwMs
rrycYUMzj5a9lqjMIKrAdn1miRs/9VnRbvpIMWutFTSqYPThxtR9yrjEjalshkmJh8HqqpdyDMfb
pQ3Cee0bJVrrbAGnDpaynXZJYWPEatMC8EY2DiusI/3eBbuGvi9OZ/JNo0rTTZQ139lKQWWIZ3+K
DvQMl2EzZ6n5JR2wH8A2zrI3pDoNPlhnhK07FfMtigyqGzYGPjuCV+xG6Yxe91ip1gZ9KzCd7IGL
8KsWkgF5NfgRMsjYgSsaGaWTbmDJzsw+eIMVB+UFmUTVMC68l35d3QccAB+WNBtvm5wIa3AkBJrF
kILWYVcRMTa13gFDRdmsU7taIvwKHMNaiNhohe127mv8uPJDX9c9Kt3NFJrM6g6hcDglF6GMLG9P
FHUW7bw2MReTgVEBL4Kuqz/fWN4Ct3Xdq9E42t/FhvVFeZi6tl+WQEf8HDwylSbZd9YDuIJs1ZL+
xNEC3dI432TNSPLtVjv0AiiNUVtwbsKAt0KqZLlEgxhxGt6GTPh3jLmZ+OPR6C2g9s0wej0GcGPk
5NzQka4OZgdf94R/MQ83jd2N+sYhe20hSH7ZGdCMYJEU7pSPV30PcMS8EapIe6sF29MBlC4YUKMy
Fp8iUqDl8jInOTT6t35q+qJYOdkCE/H+vwte2Se9+psFz7JQRPxqwXv6vQR03v3++48zij9+6k8l
nwAextZL6solwvZPFZ/5G9JTi7XHpw73+es/lj+keq4vgArS1bQF2zur5J8qPvs3jMDoQomOc3wL
JNl/svzZ3rvlj3hZOr0E6RKb5BIk8X5q4CFTMeLJKY+M+TsB28YjNWPcokzAftgXuGhXKA3ldO6l
Qr7TNWqDnc7ae1HoHZrCBr3shF2xlY4nIAbZ7tOcmdmWTLFyE0XwH9ZTa22LyJ0/FZxym40CV/gK
dUQcZW3m6yFwJlo0EUL50Hsbyro/AjGN9k4C24ISvFmLELHWspA4qpil4C+0bDolwQzpNG4KmEo+
tVCqqk923fivZdsVRwQjOC8Sdzd0dMfMfjTXY5pEtziC/UOpkvxJxtaIwKWzOXMzcK4+wYdt9nI0
lqtuzAOeVOm6X0Lfq7HUFjWKnwKa1HUF7uIDEdf+eU4X8wHboNyUuXc/DiK4NlOrwZMURZ85XNLn
sLLxsHgDEO+k4ciZkjjTemF5mBLK+9ZS91Vd4Yeij7BzjUyhgBrFbekFV1EJU62aszvDx33tIehe
CTX525xZ+GrIGueRTi2Q/8Y210gebeSOc3ccusU4EPAtruwsNq7yDrdxJpsFfEG6bLrUrK4bN/bi
bQO9OWW5H54EJflWgo49R2Hh7O1aFDvZ4Bc3l265r7XUzEuMEKicfCJib/6qssHddhM+49DLuvuF
2C3O4y78NOYFG6Oe1YOdpN6XgZ2rRkZkFljGRW2lB6i5ck/PIHwefbSMaRq6b37iZup6UDK9BnKZ
IairUWbOMwwsbFnjBnSFfwB90u5oMyQbRQoueHioNtrCtmpptn7x23L6Fk0q2C1mCZSnAcO/5bmx
72014SjGrPkhHgROgLlSr4aLexiPm2NeG1U2niD0grXAbRmvkoCs4xrfr1YN4j5dMgg6plveQqmv
rjlvfohno+5Rl9nNgSSQ7H6uGja60hpvZdFS4DVoIlfsHqgKE2EU3mEwgAzt2g7U1SoY7Cwj2Wme
rtxk2aWlxGW8zK21i+3aX0uBnghRniwOCkXSusQ+AQjFHjAk53Io6D5RVFCiRR7NMgq/WS7FHRDu
Q+AwpomHsrluXfkKMdkLzw22j/hUi/yjm7TeQ1E5KOnh/R27ZLBDuc97klI9RgNTGXylB9kk2yhU
yy3t9u4OX75fkHtJQ+Vslzgy/H74gD3L0htx3A7bPPOe4Pel26AdxBZVWXCFW19qlU+X4wOP3fqh
huaSUpQSWnKoQRC0HyQhH2hSHDMrUdCiPK1oheJM6Qw6LCmWPBZKrnsx1guwtFTTVaooNF8W+qD9
2qyN6KZRXuF9RNYvG7xRjhL3xCsO4RvwYfSqyRKsWOFWsbANe2sO1SN3rpOt/KDAxR0wRYBnOOpq
0ESX9cUzQrR4fjmaFZolDHeryh8GiK+X/nuI/Mm+nqJC90EZDWUcUblTTOAGRyQyNLDKZprvyt6z
3+CZ9dkemNdYH3DqepADjARSVi/CMNiWTsZLLvTd3FUxm7RNwL8VtPd0kA5yl2TP2qerliykhoVQ
WFDn4u4HYI3ktbqlcyYrl7FbE1v9Kcsnx9xU1WgwaJu9aAsq3r2d6YzsUFXyr2ZOFl3rcI3XLibD
J8bM8tS6KCbBnLYNLpIimPYpJ5ZrBDxAvBMAPzZCYnh+ACTXcuAQhVMm3pO94u8rvKZ3pczPS4RI
HQuyU53n2IlPISO/XTX1dgzx1Pd4qMakxnZVDmLVp67UJ0AyV9Aa8aymrF+Rm2zbqLKMHSZ68xFN
Ubp1ZbcIlNiwXFyjLG/o2VUP/ui5N73bjC8OsRHIr6zghNbRWuVNKzbZbEf7vu2XboUrNjdXBd76
r41qvrBHtTd6kEoRGtIPHxPTX0mzMR9JSAp3zK78Dw4jgnvbNkI2hzI/5gwrbwmDoGED3fVqpFnz
dZGuc4ftctN5bnRk6QwPoJbNT5knkg3dY/9lFA2I3R5R9CF1mvkEjHy5ZqZE/kAzox+bVPo5RsVw
5TQVJspo3vVGSZIQEJ503VsxR8qU+mCLRG25I/8tZYYT7Lu8rD8QWIlW0B2HvcCEtOdU7jSrVEwT
dF+DiUgOKt+zA47Z7Sz9U2KxxAdgSDZIg1Hw8fqPc2A7K6nzmSLc5Xdooab1uMTZllyXaO/yAXZQ
4sd8JSY7Zmlc7E+W1dBkQvVXv47IKq+Ft4jfx0GiOEfyuAVAIg5u11iYmHk9GVTRBj5VtGM6BU0Q
OedNZk7NM3rj5noAOX7nOCI401Ms10tcpucsJuW9sWJiRSuo2I7MXe3L/YwKLTkDbY8/otk3b8JQ
BPwhnctJoADHMPiVua4KC5/9TMjDOuHJv3Mgc+8D6bavZDmtm46wCPSP/X3bOUTU2IXv4sjugvvM
jZeTSLPqy9RFSMzmwtxmqjKPgLk+hi1YJpiGJocHYJu4Fa1tAtXAX5mC1l4Zmlsb1vS1kyTmyTI6
mvLs/pSBBuZNhLs2gz3RfzAkTuHN0NGuXtnMUgJjwnMwzm6wbhAvrJcAosCqjGRP48/XSjozc0XE
n2bCO7AQ/g0tPE/g2M6rnIkkme04pVeOLJLdrc2AgZajq2IPVWrq0xlkmIY69KlzVZ3893z/bxl1
WA8kh+v/W4L0oX+Nfzraf/+BP9sZJhwgx6QhRR9BM4PphP1xvBeCTgfNPxLssFh9d+L80N3QTY0L
UOjPc72ngUKQfhxB6xBt7H+kO7roNH7o0NEboZ9BowWXD+Ic931nENV4ElfKV9dBuRhLhkeyVgpn
NqNsMIPWkTArGvZjFNWnziFaRChFVAQnmDvVQKxum4nGmR5WpwOm8iIR80NMkMpdwZPPEarK5yT0
MSpO5jAuh6Jw7XB6AFgxU7uTFI9C6UMczng4D0MhcWJgP0eihzvTuA3w+BVXVYubI+DgIyr/G3YO
lQyHCc3PPB4jbxAJGV3ebKRM5f1mfKxHLvKjUXLO2NZ2LO1tRLOAJxxAiXWLYHNem7wsi15tYoQv
NMEIbLnqH9rCplMy5QlRHkW8bzxJHvxUuuFTWcj4aekrC+kfOdL5MhhfaEYkxLPYLYnyOF454zmo
mdrmuDjAz+MqHF5RYMHi6ApOviTUobLg2A8qZIQGiwJh8WR5lUZjorlMpLaTyjNN5ticsILq/kOq
exFxlNGFgFI/qU2WGZF6NGCQ0rAwoyyNdqFdO0SRAFqMh/34vcnBrAANNetQNoLfe3BzVIjY0oHf
8i0UjpTFePxvxf/vVPyU6T4I7/97RTiWb8lr+frjovDHz/xZ79u/eQE1hmebrAg/lvy+/5uJZ4Xn
kUElDjzdWvhzTRC/eU5AU91D0WTTc2Il+efSQDoGxTmqs+9+v/+o5H8PFMO4ZwnehRuQvIrUS77T
ztGzjJOFakZnlcwbQpXyV45aIZ0sgsAJyKPSIAutU+QKMvie1lkkxdmN2+J6cUN7XgtBu4z4h/GN
B7W4XcK5/ByYVOAQKDJSRfipYjNXIcLacik/F05oHVk+5W2bTG6vR1rWNbgvf1lnaQGRogtyd5+4
/qMHd/+hnYfx1hxfi6pFyIvb7ZnyvX2psgSxxzLC8cQlVc+voLyKeZV0Bg1Vw+Kws5kpWuaV1XuR
Bvg22ZcYaTHlfVtw1FYEM20rqRKWvmZGlpwHwzXkgdBC8MzseOO0qOG2ecVhdt1aQUpQInKRfRPo
ICukD/HZSjkSb1HRJ5wZyhwodWZk1Ved9fNScbq7GTplrgcr705R0E1fwZOUL3afEF+Aw0KdYGU0
96pOo1dJ2w6yp6xWRTMg+SnqtYucfz0n/nSzkAVz51iqCpjwzg2pB8Xk7VlwsxvfKuZ7O7eWHU3f
jeqqo+dNJPk0eNfGciA7yVb7SSbenWi6ANmXVXydu1ysrLnw71xHgFKg3/xoURuTldR1W3tS1iFc
qBXJpwIz4vRUmKlahpM/TyzCSyeaKz2IBiYaOQFJPE7jnX0TAO26NVT+bBX18Ehxy6hyEGTdEckp
PiXkcX/qaQcc64lBY1kGxnla2Af6ErdhtYAUn9BoUlWI4WOeqbpZ6yzH8xS2zYmif/wWQOSidlC9
kW26HCzKaJf5toZElW7KKYDvwQY7XuOxA53NHDh7bXRgZcSw0dlHScGUXEIx/ZxC3s11dkVTazxr
dFf6QSkObKXJQ1xn1kfJmeo+WBxeDb1T+yhqwGMUW/ZJyBTnEiUJAiqrjxg2VvVG9mNzoE8/PkRx
Qb4qkT0vRhm1V5ZZBL9DkQKV75qwg1ATTH5Cj6YJHnCjLjA80RoZn5CkuXexndBeHunulCtI2tlX
u66sACelzLAULMUmcKDPNIUoGecF2YcJm+2dN6fddSdUfOW1dA+2oprAqoWlDcJKRcWG25W4e4uB
L2F1VbcxGn5dVJF9Ted6qLY49OubFI930mH24SnnpCtSzrI5ojCby0NJYdZXAdUOf6tKEfX9ag5G
lbpwnILZzNEVgpTqV7Izejb9ibo6HElCelDTaKkr6sIU4ZF7J/yUOsj2lrVlIU9ELhc8zjlPz7ab
h/yFslitRB5i6fAGcH/rrJYVCK3OeSSpaUC2kIh+3dOXWMc4WW5sPH/nHpbe3ia7aNVVHWD0jBDW
IByzrW8B4Wp5Xh7CDkDbKoFQ+GG+eOhwT5rpnZd0C+Y6u14G89FeuqnAd+e5pXND18U4TEP7bCP7
uTcQFJDf2mLbs/DvjVHpXlfa0kcSgtzk2uZXD4W6xzopj4M2AVbaDuirLr+nxwkT7Q+zYLILrQDU
dc0XSSd3RT4TM/wmvik43Q/admjiPxzTK9gX/EmW0ewHbVEM8Cq62rTo4F5MU5y1ZOythA9k3rpY
HLXZMQZjSVovBkihrZB0ibtblA0vgbZJTgs4ePKPjOuUmhfADqu1GsyPpcBgGWqrZabe2m48UT/n
67A3T+nFlSmCzNyZXfxhvlg28W76nsLEiZvT4RtDUCcfTNptBI/lz3jRbt0pTe96vKAwKyCeqJOn
TaKFWT2OCekCxez160m7SYl0GzfyYjFldOQfUNUhVtIO1OG7GTV2r0HYdlet1Z167VhVgT/uJRMz
+swKMpiNAH3jQfu+aiPPTvh49fICF6S7DuYJwvAkVpLb6OTybZ/NqJUr8+KfJXRzD+Lf2NvYb5j7
oMRTF8stshPEzGh77hulUDkC+6Hdm/T5faYdu27QvnmV1oMkkTjRLoE220HEWGtpr15mG2ZaPrff
k4f6cUN+ULVh0Ef6onYLR26kbghIheY2ivYDGqphbXDAvpFBcu+0RsMjQTu7xYqLvRM/cot2/XHM
w/De0W5lW/uWHRpNzNfGU4AhapNpd3M+h6+x9jtL9DB3UnugE+2GdrUvmoicgs6Ce9Vpz/SMmHeF
CO+jo/3UjKUwzKSzTuDgncrM+zohAX7wjYAKdZjVzlILmtDJy7+5HTq1Zdp22sFNbwczd6t93awx
xjntE8zeDfPQByeP8w2NruxkaVe4o/3h9OPjr/bFNB5UXbf2suGBmzC/CRAa3RE5BttE+80T7TwX
wrzz7M7eaA/2sdD+9JxZx8ZA7nPrTOKzM7aYdoSRPRba2U6+A0Fj0HV2SMswvrMcahM85LE1qNdy
pxJtknd0qJ72zRv4za+cblKH0k/mo9uzRVLuuEeD7Aix+e85+d85J1sOlptfnZM/vnKOJC+xKn88
Kv/xY3/WzwIohUAo4zo+phtHn1X/rJ8lx2jLtZiL/XhM1txdZP7aDeHatmPxFv44JtvObw5iASuw
AFPYsHzFf3JM5iT+g8QFfwkGj+9ZP8zhJAf8n6U1S7U0g9EN7n0x5sWyLpN5ABTQAbyep6b7/MOF
+Rdulp/1NJcXCwISsDRLg4OwQ/3xo3UncmabEK3evo8Ngi1Lu5JPqh+D5yzpaRvDiqlfIlw4r8GY
tof/x0tbdB60kcblov780omRibmvhH1/SW4rg9YItsQk0s6CjkW32p9pfHdmq1PaGOcn34U0X+f/
iX6v/sUn13/8P/sU+pN7kvwsqiIqEsah715ecj4oA1A893mhDVK+MaLRMkFI1FeEn/JyHFz9868/
suQe+euLcqvY9GCQf1jvLndZl+EQ1YFkyS3lE2R360gSEOJ7j2Hp80U/ayc6UmwQA7GkiKz6N7dG
xZwbiI4hxAJFrL2IlPTO0InWy4L2lEoLP2fojKY4jTpUBBcEKcsQtgQt/TkvkcT++nP8rP76fu1c
ykuHOpK51QXQ8oPhy584+sDnkFhwDe4VnL7HOR8IH/C7WTxdUgtnLfr+9av+rL7641UDHg/QQbxw
8O4bcw3TS2enFfepQF1cklpHU6WMv5npTHWj3VeOXYsb4kUI+L5o8n79+n99MD3KV8vH26fNbu+f
lTEIyowWCHE+FxOIfmBUgNA2GhvxN5Ak8S9uFEuARwKkwws674fjofJ6jryDuIeQj7+ljpG6jomg
PRtaVvc2Q+Z4ZRPST6cO32Nr5mExaFHfpYxg/+br/lcf3EIOYOkOofWXu1baRhU05DrcD33DQ2ID
Qa3OUBDMEaZCFvw/HhItWeC55P+e8x5DBXiR4FhrlLTW6XKXgCII69J6uouvqWgJKrbGDqlzk3CX
B+iEbwoIIYDWUkHAtEiX6mS4+AaixpkjoKjSP/eZrlu0GyqOR/wNpUp5yhy/ZCwaxJhyd7++Vy5S
wHfLiyf5/kzBVkGr8B07Pc2jcPBVIO5Dxu/NbvGQZV/uG2bM9UvbFrChaY2+kEwcnC8q7ShZsE51
KmgO9cUvlWQ2QvNlWlCBC7wMbxfv06/f579YBT16x0g4gQbZjvnubRqIbUdaK+KeLEouyOUyc5Kp
X4SJMQMx+d/d2XoH/WkJdE2Hu5o9F3EJGo73r1j0kUzNTHXQaa3q5PSF8xoGs/6LhUZ/MBGPoX5C
Dh8mIYpOc0xhuUzM2R+TQQ80LUzpb1aFPys1WQFMg4cgIUH8jEGlOl0uUceu4eJN04aA0atOFx+q
gYL5KD0+0EL+zunXl5FP8P5j8Un4ni3uXOAi6Gf49R+WxMXPAjC+KrqvuEvWQU2Mxib1jPSWkbjq
D+WImYtE1hHNnXSwPDAmLMJ4F8RMXFe5bs+v1UyMlkwlMr+i93bjEhn9IQaQK9aUxMqC3OyEy8a0
FrohsNUNVM9F1G9Mr6paZnBKy8EDL+42pjR5MlIMVVu2AIhVWYp82fbr8n5gQHvyuyI9y8KvbsY0
9JCOVC1Gqxpg+SdBLsetqFT+1USVs8k5B5CmrhYSSxQpNm8KsJN71au43CQ9+/eVGTjAJBsrre+I
D6ccmKEugzGqOmT1XuxDJfQ8o34eyhwLlhV63iOYzNgkQDfKoAfKscGn4kQtXlYXG9va7aX/pTHA
d+jKvM8Qpy095/9hsNujRGxP+xBf7llGhKivCL8maCcIHukEUCR54Dnae2Mi0ADjRl86TOokZQ86
7Lq+86Iib9cMKuNwA6AxeI7igW034x7x1MAs3IVatW1w0UQEJ1HReqJHQoGMwXntAvj1a/KGxA1H
QBbiUdvjukTxY8rrMEyEVmms/S7MGbmS7EezKqMWYWcWsfChapeD6dVXKNNTdQ3JszkbM1mIu0hB
sQErqRGhdpTEBBEF/Ve/zFzamtgDQBKkLQFRRXTTSniALXwcpiz1y2SayyehqaRS80l9zgFfVA9G
x0mIH/Xw+OwYOVSfGUs6n5h/O3hmNOtUU0+jQQNQF81CNQe+nnUc9uWe0aOzKWhvrbmxCpMWJpkP
sFSVxqr68FXthsJnZiJRPxkX/upYklNM/OJ3MivyQzPgBshV5W0KT+cmr3oFCtAlRxhBuuTvAh+K
U69BU5LTSv6vQaz9xs9EUH8y4tG1eLtZWmrfiyr8HW5rDj80Jh+qLONKw/2vTuDLOAyxgtuv8IA9
C1wtQ6ZVgXb0A242vjEV9mwKSqEDHz1tBgoq1opEcVfCMKKLTAJbw5+BtKB+CRDKME0RC19qgk9z
bZqtv5kCkmKZoXZ89dnIkp3Y0f1ArFS/XoCTv4bONBGGYHJexaHIalRgHr3YvydJMmyHeezoDhhP
DJt1yLMLhlktDj7AuHEH7rew+ONV4/DmqDjw66Jrex5cHAGZKqoTKlD5BPVE/6YqD859j7aDGa8X
knBmB0VEKdvzXyJSdzsUGxx8pGnyHxYvq7Kd73BxWqlx5X1u8TvaWKQ3iHVYYi4Gp+jiGvWq+YEk
Njb1xGBFvayRnOH8c+iwiXpp0x7Cyu/emkBfSi1leeq6gX+8vFtSBulv42+c7yqOnbSNnARN7uUs
kuWu3d6WRdYeogjv8rDwjYzk0J+UnMTTKKACSJmqhyGh3LDyVD4humB77mesTxfLoJJce1EoPhSP
JK+UxSORuxU3Q6r/aWyVhg+nnD7NbMQanON1YjjZvdXaBEW6WfOSEvdNgmHSqYfLQWHJGqxQF/PA
ZfCdwuV/aTWigB5k+kbjweNaaMsgGivzBpGLsXarECUA6NfqzG3Edyf1uy2rho2nwxd78RWbqckh
vKpIuXJEVr/AzWE3V5nEjx3KgFN6t+js4MpV1RGnBO985GfGFZB8skAao8V4dTng0McOthlM8rfv
xc/FSkBEkTYuOcrO17aRNfgja1cLhRzln+PCsV9jDwjfnm2HN1hLRIIrLeBOt3Uhwi+5QYjhqrw8
QiJ00nk3MlvkGMTO02OJvPftCZNy0PEd1aHP4Y5/DSLBBlzaNF02lS5VMmaUe6EEBwOmv0eXb/qm
7CCr83Gqk0UW9wPZduS4AVfh3Y5DQgLxxI7b69uT7CpxY0YpO1Nma4tcOnJctf2UsKN6ioz4UMQh
NaBwS+5aEgF9cMX87yxDhxsYyyvXrGe+9DyPifeUZn6Tb/vGxIF3MQTSGnJeAbRwTedaNzwvi0CW
W/MDae9clRzJ0dnVxtAm4AmrXf3yxYR/m7Q3jmO9qF9SUVUnIjzx0LFLES1r8a0msiMNnY2c6zBh
rb9YxrEezXezitzX1u95Xs28QIuaLLjLIwyW57bteCeXO9GeU9GdpoQlwAEsOW9Fm7P42FETdXfB
DHH16APegWHR2CxNEiTNoWjRpCT9MgdEHixGt13cnkOR9AnvXEn0YY+YrJ1XK03FkzR8aoAgpQyx
L9QLSxtxLMmwAKheGuBQSoL6xY1qHvRGTBjw9SdkJ+KM3Ongs7bCgXspeJfJwI/PHO+JNrR8Sli6
zRXWBPE0NPzHiravte31KW3xJ76ny4nxsm2qxeSOqnPDOlp+zGdfnDo4l9I3GNDIYtNqR+flqrX1
OAebdBL5smn124ldPgXZbPZrPfQ8r6V2TeVZOT+Yi7LCjWctDMsYJ0GNQvTy1iSYq9bf7TVxRwse
YwN2WG5wHPhxovEf0+g1B8UErNg6wZA7D3M7lS0gcG0XNFrTeSV1kJWF3x08l1oel0Mtx4RfGWQM
4I3Nr2CO89NQ62XzKEw5cYuEGRd60ZtLkl7Wvlmmxr6KcBHHHEUiXZLbPfUKsqHqdLkA39ciXbgD
9WVd0Asr/WR2nMu9G0Yz2xoGg/Yw08r+0rIN3V/uT5vg1D2jLSbxZWNn197gc4v45tAe8ImPV3Gk
0A19vyGKqfC/1R68tHWh/ayGRt3nWj8YEb70dLkrXBwYyyqTIRZWGAF78b/sndd23EjWpV9lXgC1
4M3lpGMyaUVSlKgbLIoG3gZcxNPPFynVjJSqlv6a6+61upwoIRMIhDln7293NZwWT1cbiAjMmrVf
11a9GryamQjKoAGH3qYI0XvaR5vpL2TMFaMv6+kr9u7Mr0k2Qj2UQdu6tly+AkPOevBSv5k3Fokb
4ZruAitMgCt317QMGkxjzPZOZt146CE+cFJnUJuGhbVzmJm0jzOgW+BYQZ0UcLOJYdbLN0o++qnB
zGujFyAAWwmtxHU7DUwKWCKmeNcZIXbj+uj6zceB18zpJNdNgCndfSMntBzVHiNtPU68hO89ygm8
9GyDfd4gvVg0+9No1f1kUb3dD+NUpzeW1i+f10yj19/s7F44cD+SrGG0m1as+ofBG9mEJEYRPR51
lTWaVb4v4Y237mgH92O4VDeI5V5gqeCNxv5NCm6HoFxbx+Yiyd8BgDR4QRFrOz5H6vXUUAF3FpZH
pG6sSDKb1ZoQoSFihyL9xyKX3Oes5YE23qyWM2PMyYuoQ4Jnk64BwzgBlEYll185eE4s+KJedc7J
ftnXFvLoNblE9VXcOM17tJTsF3x7YTJkkxmvemEPxMUuYjAPnZ78DzRHKERGacqeanSBrNklGkaj
sanCUGXDa1fGs3Gf5DaPp69a/kqUKTfJ8dRySwVwXoXOzITT68m/m9jjVHpL16UhwQUJHmpg8cZ6
1NKf40G5wDZ7MTsRr2qUdnW8MvGp3pIGTrHJbtgfoPnhky7HxSRG1/iESqYp3pqj6bGIWmAheg23
EFE+xmHMCDoeDBMzqdtDWeYACfuBOa3xlyC+oJ4GFi9tcGpGiXtOVKt1nSxehBV4EK+2kuAqyGA4
5wzGc619m/WzB0mGwihhtlIaMjRht1wf580oL5gcIxZMQhFRNNml3m+2cRRegtXENAr5F3P84rZP
BclVqwZu3nPf8QoNuNLPstgoDhipd36iZ2alGlYgznbp3vbS7M2dfFNceO3IGzdoEblXdNGl8W2H
0VEjMViZK4xHYHICBTaRA9sy7AXnmxUy4/6sGQQJHdrgxlll8J7NQlkPmD2bC74xsxJ1Hm5JkAOq
gaBmc5KofBYWf5L+Q0rFeqO6wDnXLanrXiV6OjhumT2zesdTTtplhLxxlxRVEG59Odg7rpw+IN9e
Pi7Af8ktkdnHdkzorvOGMDtz2lE7FsQxoDdamTZgwda4xavbLGtoSjXCh95Z9nD1jJexdbzXPBrV
GyC56R0xmHjEkARhh32VTbqWMC8tNmVnJcWVzxhcfKguyJtRuHd13m072EIHz1kI0g0gGiW5n32q
2iG599njEzFdISMvhGeeQV6W15HTxh9TIyhemk7yJ3m1mQl2ynWUkCVkcGItzWS21sFg0juDK/cd
ivRfs+efvE/+sYDyn5VQnzLx0tQi+7nB8+13/a2F8v86lokRR3oaTPaD3zOy/2JAA9KJXIfUQ1/X
/v8WQyGGDB12DsC26O9SG/t/XR4bPpsTUM8gh0a3Df6V/+m08BZFHrVUGkoOf5r1i0ySxkRajKyU
3zabR6qXZzFbKCmZ9Yaeo8/vS1T/dMEAQzhuS+puvnVSoCr41q3dVt6Fg2B8Q65DdqZ09dqHFrAn
weVPhb7TOp/+ggFBAqjHmOtC+6SyqJUnCIECl1yf1H/O9dHiuFkV3vSn3ILT2huX4lHTEqAhYQbm
KYqrT+EyjIXlXhT6DJ4FtKrQjzM1+XbCrKpAsgVFznyFZODu93f1H74lI4kWIjpc2minjvC5I5HV
NHr3QtiUpYFQ6zK8V2s7ScI26vcX+6UrwBdlBFqQ932Lcs5pkXFpSkG8dOZezA3NPI6Amqkz5yab
4WkIWC1qynDpAbsbxx3Zc0hmDtT4kKUEymIShP6HWv2vXx8fvKYLhlYA9f9U0JdbKedcxB4X4RHR
FlVkUpi0087+P6+FtIrGK0OYgXMyoJLcgaUipXvhCEhAows9JUCId3ckiP3+Rut34cfiPRJF6vah
63kB0n7ztNOTsRtn+UHaMcXpu7ChfXGA+bddleNFaPAe/84sdfJCUth2g8Eu3QtVULjOw4lSTwgy
fm2x9/5Tt9PSd+f0K4FFtGxk2dzC04YSEHFrUiTPXOR2xub62ECxYoPdd9kLiGtQ5Z5dX/KS6oYT
qD/nPJmQT/7+xv7DCPZNl2mPkEb+gU3Gz2Xy2LbsOPYL92IJBx1xUlsG5nK2Rq0hGKEcfKptUdi9
D+d81Nwz/fJ6ugPKDPKnDvQ/jV4NBHBxpjBZnbYiihKIXVW0vLya3Hbcp841vQFOMn/CKf7TpUBW
AA1AYe/80mdHgMQRO+ici8zj9kZRwiuL6ZupPvR5+r+/yz9P9UzfrguSMNB8PS73y/Bt0wE3Xtca
h5gaARpVo6fPBJL6SSHrvJ1qyezw+yuextpwyQDZMRwQIj54wKfd9LaAREXDOzqYMZUEfO1s9EUv
0IvPBhA5gQSenHROAwTJU1VIeKUqugcXgQFCfYMds9srvVk+ziDfSj1SUU1ZxXDkaGjrsszvPzIa
nJ9eCRQfPo5d3cRG0uFgxjiZUNDD5+5SOe5BlCZ8es12bzTlPbFEMWK5gyeQwJLKe1jwTd5Kf6vz
fD70FFegcueEdq3iKuZBxl4yvCoAPq+ktTF0v51qbXoY6YadIVUYz+KYhxWNOuDx0FP6VFbNnN/W
60paQGxjj1HWds5nO++eBt21ChPXOfQ5NxCCWi5vse9QS0S2Ej0OCnvYGkJjZ+0tQQbgCmhcDzEq
AoW5LvssdlbJmKFKgmjANXSByhcptdkOusXKnaALormmKCfShhHSHrFqJJirM4Mtt3849uaQjcKN
kL0FRu9IHKWL1D0FbW23h8rK5B0CQWrG9mBQ64F8kn2xZMQjI2XXLwokxHP82JU0Ksgo8J9JYWC0
u7ntPUsrokBuEbK88icKt8Ae7JdWxfZ+6oLurvch/ngzx94gS8irYP6dvNUceSyox+qj4XDQoaZB
z4/c1zVQbUBLtAsfpWtnZ8cG+bF1fDyhDsrm/pAaGdwJkahHe0KY0EYapHg0pVhLL16LKkEX7TsA
TpUA2L0O0Rw+jq3kp7BrErgQQ3dYVfrYrQbuG/5YjmXHVa5mpcbZ5pcOeum0z/cJjERKbkGgD6qp
79KZqKUKDqnemBx79Mfiu5nbnH7ppi3b0jQoGx4LpER+MWoK3DrPgV9wN0kkbAcKAqEk4NeMoYAd
j5IG9S0oku5Ei9hetADE8YKi2h6pYn6T8v41ZoJU9YgSTQ0aXxvpVZRkKOhTuQiwv7XfvZ9W7TCW
YYNHj8LE0nqG8TbUnrPltrVC1qJhCBB3yJJ1GSE1bqQ1aTjqSgWlSsiEpYU7NbDLfLppSHbqPio3
mGT7+8RR9l6pGWW3nfjul3qa6odQZfKq7NDgdpB0EbujjQt3VkaAQUa283lS6laCKJcFt4xqxo0p
Yp/qnCJlF3AB8uWAsJ9rEo3Mi8pNGyBLBO+tM09Q6KftQaaikg9FZHpbFNRteyhMbYZjTKbAG0X9
gZIROLY8HisKBv3wHroKJy5SzmuEikh65ZLj6gH90eJ+1FVdAMPYFAcEH5/JSOsFYTLSf8Fxg1dz
qOtLWp19stNCDuy+Y5ttrLypz6ZmbK6jfLJmTNUi/ZLoDhw2y/ZK+uQj04eAfCmHoCPZc/afANIN
OwmC8QuWpebguFUiUXy56ktNDOcW8zmuCGviMYZIfZAhz/WXHJDJsKG3LDaF2QdnejMqyBKj57nR
EoNtxx5whaGy2mEDHPTERBegQTc9UvI7R87Snud9KnbSG+VbnDTzNjUy44OMmupzVkzuGrzHsGrr
DBoLIEmyOvvnAHnmGtyfsYnJ41uPU2/tqrbhDyIG3SV4iOnfiZtmBWmAcBhNbGqGNVUKsFWrHnFP
gmxV0OW5ZKcb7m3Hkt6mBne4cuOYC5FHEm/ckTTZsGkFZXkBsb6RxtaumvFjW/gdrNBa7EZS6qgU
my9lANafJDyMDZG17IQROxvieqHNx0P1gVVJFTx4lV76bgf7JTF5ogEqhEvqD/Utkq/2Fnkdg9rw
2ZE9H9sGhp3zSpDSBESuaRGLXviLLiPZzkINndl2eE16kwmpUZH1IE3FkDUHOll9AAJiG46Lh+0z
SxcKqiQW00OmFafWtP6bp9iiYXaseB0hgoOIWI/D0YMCWtpuc/GNbmtaSyvOvunwjtzBI8HVWDhH
QU1lC+dPFG6m1uXVH8Hg7N3FRRd2bD61kGD5aAHBeeD36vLJbrqE/RxoPdwBRA9gwk1FW33xCMZo
32U7ubq1CLO+DAaxrXN3fkOT0sGWKQzvE/18MknSSOxL8ifh3S9JNq5KK0+/iml4zimrbj0ScoHp
SKaPz6UyRuM+U1gL9qGdhtcT1bK1X2bFNp3nbk+eq9rJUNuOo4S4yShw54+T11d3tCje7VJ9XmzX
uikGm8KVXwbl2o6w/7tja78mQ5q8qiyb75Mx4MnxxufbDsxoRCsiwAYypRlEi64UwcH3KAVtlrls
CQWBNCrXBZ7ZeT9gKbhwu0ZedWJw7ny1ZMaqr4rRWvk8hRyFE10mo54IzsJuW14tfe/eKPQ5N53l
jndVFnbrvrHEizsZ5bbBq/y1iXzE7X6rqMjFNl4TETpg11PUEzOJDWjxu5LpIoq9TV6F7gG5wte4
Neb7eUgKdHSjedVDQ/pSzD5hrT34ZdbKmugVatjJdUTR7KpfPOdgRHMEKnpKxLOdze0FMQ5Y/TNv
vIAHZ6C7GATZOxZT3o5YYhAgqCjteJW5mBp3KVrAB79o2/1EhPl9S+r4pSlH9WFIzWYVTcn8NJZD
N25NIdzssJB64q0xQxvgF+M5LK79hQL3WZSOYq8V7pcEQzYfMQTa0dooxqpe2UZgkp7M4LmeWeHf
iRQUV2NLzNjCQnhR54IIrzZKY6r2FseLlMntrHBxGNJSbmm2JlMwfUjsacbYn8eQJIGi9E/FMjhg
N0rvEkMA06hjyghvczvV8wYGxhjjp27sqyGQyluhoLJCkk4DlwnRmt8a2x/jXWR0il4A9V3X7eyt
U/pqL8YguxOV1X0cLSkew1K622nBtKpgT60KKPAr16TsvVqIwNyQLRQQwBOr9BWBDuvQYBLtGxtT
Vm5cbtXtpDin1CUl7LWHt/oGfdjy0exnAz/3gJgiczpnFxpOH6xQgnq7TgQgaBo7iwQ+jFm9U6hc
PrWhM7wAmAte8az52c6k0SvWNL/ouuRNGfSrOKRurwbVZZs+Rc20D4b23UuX5FbkyApIYxLDwZmX
tKG7XHcbXPBku7hI0KA/1KRn4RfZ2qYfD5so0dQXJZcFRVFDEqc3ugOBFyNMZcMNps8p/WpkNYnK
b6gLB+aKSNTyhuDRcljV9mIgHHZ4at8CkKpvcUhLegxHOu7X/1sL/UMtFJGyw8nkP9dCb9Ks+VHn
/v03/F0GNf9CbhwhXSdr08J4idL0u849dP+ibGNZmL4xA30j4v1dBrX+ilBe+gijoURpv+b/LYM6
4V/o3EwrdPFw8tupJPyLmArr54MxhzDk5yGVu4CCKzj905IWfSOWpdrzziFVtvHGzlVxl5ZtfPCI
OFo70hOfEAZiO+yB19Arjg+kBaPZEebykTpb++T6ufgElEh8SmBdbn+4k7ff6iP/64e41p8ri8dP
x3sALp7tFWdb60SvHY1hH1tz5J7nk9s8eykLNyK3+rL2FrbFHfSzMwKOprVom8L9g0DdOQUEsk3C
s4AlV1c1Q59a9UmxJLVL3v2sO8dA9blCi4CdfMwicqb7RmclQU+iUA1RwpF+cLG4UfbRyvvsy6Jq
9RqMoptIhJfOIQHftC38sTwbyn4stnBy/Q9I8whxWojmPqeZNlxarUPIm9m6JAWMOk6jiqw1msrq
JrUlePYA0fXaDDtmkhmw4WYciSajpZQaHc5XAEQT8JUnUtkKouXANCGU4XgPlXrbN+V4l9ai3hEC
WU8k8zphsUugQ6drQKL52slc85PBuZpIguBhXIhZXruq48AV+G193bvsqIzUIEe+b5xpL40qxgCr
iMeGzQW9KsDiv0piP12jk0brZy/yc51rfLghIuvSmwkS9+FnfeJEGogVCemzCXAjXYgwI6F6HxLh
TQocXuAlsqnLEGMmOGrY3V00GvkHJGiZtckh6D2VDQ2wpsZ/tQnTJdrOo9Nnu8lZSOvKeJXI/wiT
ZYXp0ydxwU2HB4szyBZazzyeI3cukw3QreFuycaQFDdnJvc78y0MbFYRh6s6HgqQwp7fWsbWTZRz
US893VMyve0Z+VNEdlyvXB4r2re9N9m2gRjMR/zpeZ+DXIbb1PPr26Lu2QYndO9RZKGFd/shJx/D
JOvOJC1y1w8zpBnCQ8+IlYYQn9rTrjCzXTRME5pNKzoHV1ndKZIKgPA3Y35QWDw3IWYoZEZAXxV5
p9uobAcUFn2jdmzUEs79uS19uKscf9ckCetjZG5dwH9aDugc4cbnNolJczoTzRd46ZuLVAepqbUQ
Dl8H1Rs1X9D6tiL3vAPCBtbJSroMO5tC4OEHvZ9vePfuYc4D00cLPLI7yEm8mu+tvsoWwtSDumFB
dmI2rvjOamsVtkPxWudpnIWroc/PbLOZX4tiqiz48URdIdqo28m8El3UZ88s5GW7j2rKIzdC9PFB
jco5L00nnz7ruIvoUnp286ww5Y7kd45Lz1vRGcMLro683PTR0AE/wi2WbYexr41tE8PBIL6Bhrsw
g8HajmDesntJjLskLbCjdW7ENZ3spsYqjkIGleoXN5qxiRYwLbHoSg/RSjIXJuWxJGUpGOpL+h1Z
u+lMp3mmhUqXW2+MCGlDpiCBt99RQ9eTYcr3L1RW3+RqDK7tEWnamj7xscPPd5Np7N33sbLIS/UE
+7F0csWnIfNJy+qziU+/JJAh6ZiqfYb18YmzELDwCVDUKvImQjvTmRd5K8xxMdBtL+NXM+/ZxtIY
98zrCB8sMkFIHs+9KCNAQUapSEVgKo/45im7W7LKh1yXFwpjmEg7sdVjKZCjNOtidiiKn6GM4tC0
YSWw5LNH8xp3cPjNJMx+XzuHKRUk+IgbS83TZ4I9SxzGsMnq51EOFUOnV4LjlPKvOzajUKibqTF2
8ziguXapip51oV3eyBq1BNJfZF4rQUTvhzFL7Bu3aXixYI2UN+hdwP3Vid94GxQW0/lCqYzz3jSk
1WVF5gooOj4BY7ciELMmIQn6Utcv+Yrcxnjc1KIPvhjsVUlEy6DrrMtE1damCX1pInSTIbgBtHRP
jWU012y4IgSxft6wzzMRHVDd2RazaL4Ka/joLLN/jjQt986ISpg/jJSdyo3BDno6CxFb4/5GYkDN
rIkIsASusLNGs7iCORgTbkls+mVazv2DXYwL8Xrp6L14xInkq8mxUqhaxRY0gKHWbDaXS5fQkos4
ndLLMUBWuBq6sDxfurD1tuHSkzdrlMN5BAY0QJUVGw8F64ziK0dy40YU/nAeV4FNGIwQ4WpsUHuu
KHfU8qyeHcnsN/nompnHOWUmnrtbYl3HrBzx6b8bx/+JTVIbEn7Y7fwCTP7f5fPX54ou8jdc0fkr
afXH3/L3zpHtIU1u9h8MWIvELernf+8cw79cWkm0IsO/94B/N9AdDUkO8FhhXHJ9Kux4x/6miZh/
2fS7aWJC7/ZMJ/pXNsmfe3QerDFiyPWnAHViU1s72RzlVmu7wnGNfWQYTAHIotR+jFzx8MM9+Ycd
4On+VF9GtwkwZTrmr8gSZYmeBWgy9kIhfi6aCn/0aIY3FV736g87vtOGBNeKLMuBm8QO26dN9/N+
j2eRU+p24r20mugG7cp0BTnDObjKpBJLhkv6hwticzzpgdCkBz6NIoB2p0UDR/vQfrCtLIhdOivo
432GRR25P9qxy4asDU6OBraHdUi54ZEOsGPvzDGZnA3p3Lk8Q+Bn12edh8echBZyDMYFRWGrNVFR
o7fGMurNr/WS9ZddJKKzLk6is2PMS4VOZ10DbjnQWKg+lDThMDf2w0fMWTUIiL7dGXEFM0kOGQi7
3Ks3DskfZ7IzEbQlQm47KhwfbMNVbxHCxMeU9ITHoE2uzFFCvQjKmuyHkvWSDMgrOmR+uE7J5vhg
i7F6V45qbkhzyT/auCpWYPfKndeltS5iT+uxqee92RC43anOPgshNJIpIectW0XWmgFQAIaQ5rpv
Q8Liy8J5NsvE2Jf+3G1Ub8z7DhQTAUxLFPsYSu3mRSDMvfQV7BSU4+m4QiELt7kP3Z0p7P4pKyjn
QH5I+0B0q0DOySye9GlEisu0bvNdAJS1BiLCOF9zPifO0nSq+uvYB0iVxyT8lGNSv4sSk630bIro
NQ9FS2hlRF46wQayKTAFZqjV0DniMwid9GuREnOxzmq3vAHZiC/Fd5PmMuBkcSHHen4MpQJyEWf9
xrZLxl4OcnwFWtW7yRzrjlKCuY61MDHtIn9LaFv/VAXNtGsWc9iFk09xZmn86rXXzCt24y+yz9tN
QmcUNE04knWivBTyDjcnRed91eFx/sRR0/jg1Jm6NFUMCBUXaXHuQ8g0INjmMcnajXHvEjR6Hrum
u5/mWmwdmRWXtNDGVyTMw9fC0hQWlSgiHowhiw7cArFJY/+lG8CwWCAaEbsjDQ/KV5NVdKWb0ASO
LytsJR8jBLAM0rY8M9qQs4tRLWuxzDXFGUi3UUw9L2iHixylh4NYN5FrJBH5M9qBmB8OCMQbnU2K
Bm27BH53F8+lDbdI3HrLDCWCzAaXoc3bA61hgiTu2oSZTW9LRWIHaIbhqrBr9XVYCEfhyXpf26Uo
buAr2JtCDcNd5w3Guh7Cu66Lsu3oqc/G2DvXJLHZW6xZ4toIFImqETthgDfjOrGiaUfMywcCnj4R
xNTY+6wIZ4q8A4dt+VL7GWiDmHztZgPABjfESobQZziz5TCDk6og+NseJbyMskOyhxhaLudlRD+J
9C7OQVSBDINeWiFm/FarxR7FjFTRaOBwyknkD+53bCC7qXCaHwI5pNvIEgHUCgnYk11vkUEbwUaA
tBcI+hmRM37weSGMKUQwWNgeCJAZBxk9TxnuRC4ytjZJNfgoC2eVQEn3+Emnzabkml7qmK4aiOvz
beIbCcTO1u9ECsQCtxCmmXj2nuw21YALs47Jl517DnqP+TgbFOEW5sjXQMdLrdIhHYwDVKBk7O+L
iq15d0avsngyvLa4jybsDxT9mYabKvD2kwmTJADm2nPmsGPOxaPvHLyFTNoV0NyZTHEjjc48FO2H
2Y5B4lBO3dsVPmagEDKTqGBpHthpg7dFYDdBABn78b2U4/zi27U+EJKdvXMLbUcBw0TP1q0RKGq/
NUrH+pAtOF6GalRkrnVxzMseIqHtXN0TCKbA2lmICzb0gyETtxRMa2GGy8qQacUTiKMvS88/dUBC
7xWNP/AftTG2GyLKqg+L47ZvmhZGCksMga7QnYmWranajH5Spttezs15aJbRTell/nOJ9CddOeVk
7UgzqLDgYX5bF2HFZ8Oiya95xlC922EPuckcaIAUKMQ2oaqa+6RKaQULthFUWhsKFby35ea/u8D/
2S5QC6X+c/WQXaAoTjaB+nd83wRadkQl0CYxA/qYDj5hm/VtE2gF6CGxN5uo0ewI0iN2/e/Vw8D6
C8MtP45N1sM0rtUg3/eAHr/koUGktPWdUvdvqoe6ePmjqomPg7XAcy3kcBiYKWP+vH0Jg0lWZPO4
b6mp2vydtSQmnWyebaMbNsNAQeIRJzZBy0I6JU0gIT3vZYnLtoZP5TWdvWsNlxNxAZmctZJoPJ2a
FJaAYz/2ZmXkTMhu6yufg+CSgIGbnKnTdclylMrZYAIhpJRqWEtVPjFp53xMB21tKlmc8a676CHs
Drw6KrMzRySkZK0WltKoX5fzAmN9V0+5aPGJCXBafxKYnWq+0LVEDtrSkP8Do6SA+fPdaYRvofZW
3lsr5gk5d5UEaUm4hAsJ6CoCqsYlF4tKyzuBR5l8cDWFol/bzJR8n9qak+XjD2PrH3bTttbU/CBD
86MgiCg4u0Qgo4aKTvWSlIiWqhF98mqVpldctXQNi4NyR5rLZ6nhA6qjU5rhVaTa1YbEj+QL9txV
blJgfSbkTnbsk0Z6fgcWc2GmWxUnhIuocuFRbAeEMewIez82li0xcp1/rVSB1HZbcTKAaGwmtHyi
P+yifz6JuKie9BjEEwRBNUJVbP98m+O0oH9Im/XNnDGz3nt1ZjR3VRk36vb3d+8EgMGFKAhDoGHT
D4aC6/18IckcGyn60K+wH23L2bb4kVwT1DRv+OIEuXtDmcCjASR9rzSGdUs++3THSlvn77//JD8f
G/RXpjBKX8LSsEkkX/qW/HBssJxEmtGS+6+TCHv/2mtlDrINxQH0iAP7MeX5f7jJJ4M54H/0Cjxm
DhPlNi77ky/v2DOPcpmLN2gyrJScS/KvFh27nWrIyYjQw70qMcZsG42vcspnLEL+1P7piHYiYDx+
DJTS9EscngCH45Njp4+7APB3UL5ReJTj5qiq8tWYlpdZ6Q+oyKbooevrcYfIgwh4gnSe0rAH0J5C
HP/D2fQEMvHtw4D5ROlCrwbg78nIU9U4T6Q15G9JYPr3nW+JOzz8xibwZXbhWNV4PZbdcGiJTz4v
F8e6GupADCvCb5bbjAYAL1Y9T5dE3DnvrADMTiHWuvvfj5UTbaD+lBwwmfUtm3c/gpzy82CBcyBh
mbnjm5zzLvno2LYnKNKjixqxSF7bBP/Oq1koP9yEvde8p9hWUGzA9prPwHyJR4+6+aUZzMVHu3fH
bD1SLN/1eV9yu5M8WLsdCJ8/jLdfXmr0gqg1wZ1YJsKU0+FmWIkR0Gx1Xsqx6xu56WRLTslqClVM
oOTv75Ceh3+YFHmbWChdi/gQVlqO/ieP0YYIX7SZZ78uViIy983mGJmm53FL9+FAmLR+pUvpj/CQ
f3/hX78kIwcgB2MnRDbqnzwZDMOix64kXhaTVpda5UEZTnexbWS8zb+/1EmlQU8Z4LZoR/kondks
nIpt86axCqrH1StQTY+MCkKp648lyZ2dtwacGiftzRKp2KwumwxKurn1prRQj7kI2tZZEX4UL/jA
qPdHH/Lcx7ixTiedD1AAfAjlfpxdlzC433/oXx4M7TemnAClPVk4v5g0gBOGVF/N+gXmSM+nAFFV
5O8TSUsAFZrKb5xNXE0YuP50s359MMjTaLwy2dHOtU6XydiwzKXtPeOr8vBG4oILSJoCbRe2aW/S
NyptUe6ZlovgGTwObJxN1/d91K4riC7TQ1apua9X2OvU8JXAmzzaOdjW5AVZjC5e5j/cpfB0OeAD
Bt7xNYlCqGmnz9ZL5ravxr75moYZ3gX4tXJQt8JfegaVkpwbp7NItMK/Npw4420SBE2y+ah9KVmc
o8JN5AsDsMrffaEz2Nhu4dMlQ9xym/z924Lvxi2rGVTIxP8sKP/HdJmqoGCkTmjEeDp1P/hs+2qU
7jwR/NR6S2CINOWCtlzK8EOctsPypKTesq46WIncC5tgUDYVsGT8Lt/ZLkGmM7DBOdMlNzev3vwZ
KLhFjzMW6pbXP/I+13g01WOv0M4iqGrziLQSiwCKzyj527zejuSFqkc1OMH0MPWdP92JnP8yrwgl
YAZZpThkeWZ2CtGNfB9HS5bWudMavOjUP3DKIt7M8xQmJSkbNeTRObf5SVafmB/J/EBUPiENSzp8
GOagYvMkuyVnyRc9QWdymycRlzayOeLHqXfpq0H7bv1rTJVZ99RBoZz2MerR7Kok1Rd2ryWW+iLt
DDkexmVcGEtLGOuZjzwLS16Ek0jZnJnxoPdoXYj2r9+3IcU4e924dVsU++9fwMuHlK9KkzTSHTsz
Nrihnlkz/MSS6EmsrALTqLYduk7+hhOPjDFa6AXy2O9/Rtd2aJ2dLPaydM2Qa2bwyqnyuAejk0ku
vbRIoA900vhOybe7Ss4NumWgTsBSNXhgSItDTcPbKNdWGukrOkbAKUG2GMTp/MkACdiGiV4PlyYa
2CU5RVMzaIgIyqu7evCaINjljqbHrVqyYninpjpCrkdIEzwIifTY5A9E+GnFwW5IBlxWB8NdMoJB
qmXiHjYLstpy7TExWvF9WGJjyjdEM8GqOI+pcGG4pBekzwq5tTj8mvQ5nfAl8gi8zFXnxFOdbBuj
1889sCdmgW2vQC1U2wYnBZ+kh7/Bv1H16JzpEIkJQcSmkSArhw2mYBpJPPkBazionWbgI0m+Pf9x
HnP9WdwopY6/9oOAV1BiA2GkOMr3qbJREefj5ajd9Dkhnog7vxZwu7zPhPnwL+sIIjUfK3dpk5N2
PlXcwXGhvUZRLAQtQumBI4e7z4cF+dkuMX09RPVRbnpow5q/ItQqeYGDfGBu4KiCgXbrzhnvueyl
0pNHCs3kOe+cXr/SLsXlZtObLiEl9Jw4pyCvbC1negioaHEXkDC1Qu7RkqCEupoQLPMHdr1Asr+m
jjnqUe1kWT9s2iJSlrdfwtJbIDWZD1HqZdG0QfcS6JkpLUnEAKhMga6IktbZDYBXXXPD2EafnUxm
q249KReGfyjokrjbqKJMVrNRwJxFSLQ3QaZOKRERfePHuZPdNBawAbHibKifMIpXYqV2Nu8ySP5M
YOJC79t3AJTXSymEMV8UVFL4jLh0eDadS3qV91wLC28FFfRcJs09donYra8bTUkOqUlm7lxumYiZ
brYoznJAxkk7NhGEZ86J6B1A8AzpPnby0UswRRdMs/6LIgcHfgGTrdTtWaIcFfWaPl3SNLksmnS0
ArIIqOMzeLJcTynBMMuu3RUy1uOSDrBgDMVOhmbjotEEy3bX2dPYA9vyHKZK0cEJwhRX8Dzq1YLh
f+yuUT3bTLl53Y08pRqwFmtBA3OcPyvqTD0LovGNGLlm1sbDtDOHduYnOTJ3/NqANId5qTAnXV4f
cn0CIbCdZjl+hgVs8cWQGswOE3eRd8GyB8GAmroewPk5T7+T3kUIv8PdhyUk7OQiXYyRS7sW2ly6
EBQ7WetJgWaVr1Ai8uaFbqkX2WEYO4bjgr60gZIQ9pL5QYap4d4swIoxlzNFee6+7YD4pVvoWvC5
VGXrLZZJYUy+VOy1i6vv515mfX1z5qZzmuisoLsARCZJ89kxoD0r1eMLC51k08VzHW9dc4y7e7AK
fPmsYfGXR2omnzjIZxrpO2hSAS92TqwDgyfMSKeAuvRtWFfZrH8NDpLDwFXZog9qfgOIql0LI2TR
ssgj4h47QR/1M+CvMjF5P40k4811UZ4H1mpOoSZd2/Az8w2McBwHWD4s6f8f9s6kuW4ku8L/xXtU
YB4W3jzgjZylR4nUBkFSRcxAAkgkhl/vD5TKLlE2y73vCEc71C3xPWLIvHnvOd/5Bm+m7D7r1VSe
GQsHiIA6krrbk4vGAsRAowbxQrhFqwHAqDT7KuabWmFTi6z9RpsfUXCBgqP8bufl0hEe5lbd0wjJ
d7xZAo3EpZGBM01IyxlFvfFBXMCRaqFSY2gfR4ehe9cS/dFscJFXxiW4FgTHsS/RLbXco45FfvJb
cOtprTr41JA31FrSL904AzJBjG2SrwlbXj4GpjHYn90SeBVSEugbSByC0pwJxxZwoQyA/nOcyKNM
2cnK0CMWeFmiICsXvdvFJlqACzq88bBxZXEFp8sQOxV4CeMzCrTlnOQ0fdn4XOmdetq9/saypWmE
M0q+Zt64iexBEjeml4ekNpgoQJwyOXimJSPA3ONyEQfQIffGaKTmLhaTgUhfYsbIwHhZjnYrmFPa
9wjAyELd60ScCBjfjT5NZ2JNLXmlYVvQPpFW1i9fJKiAcuN0rgs02sO12jDpQm0j9v7kQJdC5gBq
KCJgpCz2cSZhHyyN7VfohYvGMtPQQ2TR+s9Glfv19xTBh5qiwpVzy3zOsYYhHDzSBlHO947U9zKu
W4fsokJ30FvFHNzcayhcWlHslSsoa9M/U6LtJOKzxi+IgooMR86Lu8WcYxHF1pn8Mvntz+pbn8vY
NT6Bw2mQuo9Ntm6ooiIawLkfZ0cIOxLx2MVglnQiTgpEN55DNRbrIy9MN81rrYmTn/nCvrMmtW4r
AQsJL3frr+VjxwbO65Da7rrCVY6+VpiZRkxXvMvnckxITrN6MfoX6HM0SlKSIRVbDzOunF0Gs0xi
Lnu8QPzM3eA0a/UHa2A9OXg5Rk9af2TSMAMd2ipzHxxUcnwVQwAdCPbw/+htiaF1WCZRUVDZ+wXN
dHNvmw5V8KhTu2lhMI+CtSz3iaQYmWmN8cgeDtRe3yqjdhfrENhmSUlUM0dnTamGSucXpS6BvRQ6
TtWtC2JVmuzRIzN3ShNwi5ILJGpv3TnxC0180y5JPT4bMYjXLJ+V7WBwCxvgjfwwPW9A4m96p+n4
/n2Qr+tkYXsk24I0NAK+UR2L3uiegi5Y61UI+qw2Jjop9xlPQN2AIMm9+jJpyD4wdlKItZaqhbeW
LGkg12sE8NmVxit0ZKCZ0VgaasBliHtJNxjPxRPXNtDB1VRXrOGoBLcosWgvukTmsEv93MEwRHMd
C9jgrGhuMK7f3rDIQ9BCxOF50OxnQhzoJYO2pXD12Vf4BkOvpTw+f12JpeUV2gzCWqhIYdDyExuG
U5UdFYi9fPBVWrk+iplOHfDJqabYeYClyZf5cRvZMA3jC8e/QZ79Np74jS3U/tyjAR+GwawyKdSY
3i6Yu+PgURVYnopDKtykGo8Y/F11Ju9nrWKNRazNzq4jjz49Cr1eiwpdMhmnp0LoCJui77Y8LBVN
LWMKsxGjkIxsOCoUzma8VvOqEV3nHHSR9Mq/XWRqNtmli9ib7zMvCLWYtlqdzq+qSLJQ57K311ek
rZA5Xi9wNfgLMQJZCjWj5GictYyF6w1D0Ywxemt62Eai5MfumipFGAWjdsaRCFctQRXoWt1ab0p3
fR7jMs+prHWuQP4aL17NH/jv179NVdItt2Ppe2yXRsr3MsM09dbSkKFRshbzlli/7Y/Xo5BMW88l
jHpuatez8FWX1mSp5JsilhqpAmZdNP6MzngWSiIjqQnynd3Z67Nb1mZQX1WjkRCUlpS9bwwnfkBl
UdSOzcy9JaGm4rPqpeNX0IVCi5D3xlpaB1DeiOnwgqx7Uh0+zGqDo1RIFhdSvq1LezRkURNfa/Kc
QTxZD4E5al5+jDGtN6S3A8pLDp7cZzk7y3xhARWcL5DbzJPaT6bVFk8qNSYuCrEqa+XTJ7qi1ugb
v+O3zSbycObtzxOxv9RIO3dTkhBVta2T1uJPCWeWbgvZUZteLDW0y62ukXIbgiVMOY6otEt6Yipd
YQ1ndymtQQu10eD6M9NcD90wUNcqDGjSesj3gm4t5BMsP+oc93HCXZMVAwT8N762YM/rlMMskxZv
w9yYIoQ1YDFazrzHFuPH2K/nBx4n1+HjaSXHy7pUCtZk9yA8Z2KAXHsTj/4BsRIz7LkgCeHlx6tX
q3ItrUqtClCNzi2YhDaSSvXrg1GPa/8IT9i8PpL0Usf6Rrcn4sK4IEg5GUwGmuRCompeX3FOy4m4
cpEHrKTYMU/2cVpPwx2koKU/YuwyyoOPeKPv2Ng0m/oAS5hi6cQa2PBjAlt2rFV5W6+VqFmbrOLh
+OPUCOoLT9ixxRTIIkXBP7hhT+fKLLdBotZT4I+DRUkuDl+6WaZxTkLespn5qPQXTry2ImwFgd2Y
oSAJx7SuuaWZMaxffYBmTKoR4V2xlFsyE22oYYLmCH9xmXmisBmvC5bkNmrE3RYIm2sCMIkpYRKV
WnXxZDXTekKff6wcRCushS7i5PWp/Lhr9L/0jJCIwQZhgIgz4X2DlVRc1NhBOT5PsVzPmQrLaupE
GuErZbDph47f9x8+8n1XjTYV4GEH+jBGVZ/C6ddG9Czq2tclYhHHHddp4Y9HoySUmK3r49/u949a
tXEm5BMGlKty7NePMhHyLoruxDPGq3V9apD3Qy6dWKxZuz7+rHdjADRwtI496NwIpC10J+/nfL1u
AEBFjvQ8WRUU24shpbvuhg4ZqbyGxGcRCrxd3IZFYwDniNRoUCVizlBIk3M3XYh1khZw5F3Xnh8r
889ZW90l6xGhRlLMnoC2ZeRPH3/93y6VRVuYwtZAMGgg51v/97/NkqYuhgk9es6TzIyJ78EGtR4L
2Vw5Qn38Ub89cxaNYdLLXSaPeE3e97spozKzpoB6ClII9vMhnqEAfzEWb31F3DghHPMffrn3Izs0
dauDBv8I0wTzN95F1/aWn9C/fyI7cF2jJCjS5XbIWNk/JSYYxjmKA+p9iomZP/9ZkjnT3bDaVc4/
oDfeX2am9A6w/nWKz+v22xRmrOWkxiCxvtGT4OgIUIwulY++jBXwX7vKJlwjflsLFI/HxPJ987qg
MPQtIze+DaQmFldSlOsGleWc1A4qNdeq8eMPfBdH4JlkAdB2RlTgMFGmffTrE4SIfGExmbtvXc1c
EmkKCdIscyyKM/eVZK8Ssl+aAVELSIdxACf+0xzlt4vr8hCDkYAiAmuKdLtfvwGnxLQ0hFd/A2w9
J/WW2elSbOl6pEG+/1G2qC5dS2OiRdb1+2dTXINTxPGicoknS4/jj4tTIXrkGtH6n3mLG6BUnBaW
Er+sRR0xNn4f+ZZE6oPlpJCs1t7orJulgmuuGrQzOi8++E80G3kkvYHmkYHiaSRpt6BFh3gbFoM8
ZkgZ/CVqCm2trXpkWywWWgczmDYyFALuGbodahuvt9YtXoCF52t5Pxr0PaU9qyaslrVoyn35VvGZ
iNJFGOdEcNO1wWvL9feTvKMzaaoJl+5FWhe0ZT++/+9fa9Y9ZHguPrYAt/hvj/bAySLVIIU+Nmlr
UbMmQq5HoGCRawXws2X98Ueu6/ffR3brUstMmRkNKC1CCt5JKxiUzbLt/fExSJBPW1tsWW5xBYjM
LLRrvdf5BquRfeAQNeFz5UYADVm/zcdf4/1vDrcE1AsYO3TDvHNvcou/rZ2129Ykecn0sWhof56y
qpPVvVmMZndp9vIfQineP+SIoFEL0ylyYaMBR3r3kGNTgk4u+v6bagFPfiEQeX0swFOsldXHv5f5
7pXmpxOzwawfqBT7gqW/m/YnI6FvZa3M+xoMpR/FtC9lsoMBlXHSzfKR3WGDwKLi/3k0bHguJwe2
J6WwAxRV0NalBcORZ9WLiJFUevoIC47Cs54lnFBSj0XgBfZJura1Jm1tA/gSC0h6VL67tolR//G3
FcQkfjmtcNiLkgTwCMuKArrPqcpAOdkeNY11tNwBVSDu7uOL8O56cw2Ik7Z03lObOKLfJqYOVJmg
cuEmDlW+7sxxw6gCjd/YcHL++KPerIR/e57Xe8ri5SLwcdkWf+P3jI2gp2rY8dm3m7fPwlzlXhdE
vq5bE0s9S9APrUeJKIyrUE/12iX9+adODWuHQBt1Lq5je2s/k7OgYKUzK4j441Er8kFbLnteVZcJ
lqiKcQ9TnAPTtqhjjscZvGeOJT8Hf0yL1iGSBmmbd2fx9YX/TTXVesMXUuqcB+1tOu79aE1g8157
vJqTrncyN6haxo0HG4X7LrtsbSz/HKHxRvLs5sw82PfimC4H2BajGmmBfHxJ/V9vH6oHshYwJyCQ
c9gLf4vWaPkNUF2L+KVUlveQd3BTdibj0YNb+MKmx5/KHaiY4GL2szKOhB3Xh8osyi8Kqrza1P5Q
MzRNrE2ABLbfuKls72POrz3siF6lYeordL1BflcxantRgCDA6XQAlkNmOe6NcuLmIgVYecWOlC4r
Ql0Vkdbn1teFObI6xd2YOwCqA90musApvmiLJjkclEhhwz7obm12JUD5AJ2vvLlTkRRzu2UmXn5J
meGDUTWZEuRC0s5ripERnjTKb6gmnAvASXgAhqXVDVzznXc22Z+fRNoYzibu3JQWRtL3ezOv6/Po
WcOXzLJSdHe6ZteRRt/usRhABJWa6D67dt9TFsXDISdfbseYYBaIoRkuh6hfATcMdqVO2P+3cgyA
iPhpnn8dYNbRNY+HIpJj15yXHKkz5acGvAK7SEh89p0tZ/3ZnGX/DUIIodGDM4Tp5FYXhddnWztD
QvPxE/HrYs0DwViZxcyhVFjRku/lWw3tHw/LRP2d+wWC2wQptHXLRhJS3enu/ccf9usG9ePDPISZ
6zZPDfe+IiFXltKuC+rveIsrNGmTfkZLbPabqiqulG0NnP+SprpjRIhO9+PP/u3Jf/s10YYxsmER
f38eGZw+wA7dVd/buubgCnkMelCFHumftr+3n/Q/y9bbb2mbJvocXORsyO8PkZNZFaZCK/PdGBve
Gctku9g0HHgyTBWl96k2q3ilj2kYJ0onEHDvRFbuCcl2YSJKZIaIQ92bzu2CU6213j37LZgb+oqS
tHKKF1PWFbx1adh3APvq12qw/Mua9uydMmfza5BzTt3gYcUgnRTJjQWBK91oXuXSvSmYxWEep7HW
BfP3vEkko4Sh2xmJoz/pEC3Chfv3D7XQ7zq5tQygDOK6QPoz35cEhub1k42J47s9rBc/zax0bzV5
eZiW6ak2gvLR0oIpGsyEoUcL5/CAphyXzcePgLNu0L/cGW8VBxM/bwLxYRt/VyCh0KoYH6Te92Rg
cEA7rSs2k49vLOqZkshI2dV08Co5DZtMExXTnqY6NPStrpRwlcQhnGg3C+7Og7XMNM465OoV7lcn
7ArtKptr73K2sBJalXWmB1reNBo3beMyGJvDRU6MXfKmj0NPBN4nykbV7EY7e53dPLu2PDjLAJOc
Q5Y04qZyZCnBjffD81ymwz1iu+JOqzHLbNzJGHeWKdHyY/ROzmMZ4FdPW0ITVDoZwUbJhBGAl7c5
gxD2xM+2o/mXWTrbXw262vGGoQM5pR9f3F9lSTz1XFub7gJ4VU6znrm+f3+r+kiNZrwGjQMOvu1c
a2TvfBGZNeMMaGv92hhXh8LHn/i/yR6pDTji4PpD8vle9gj+vuwqts4/QU7ZJ9pmmN/iYdYuaFTm
OwYRkpWeEJ/vAkrnlyyZ5GWWBfqdpgJr9/F3eePy/fpoUWqyfJo+OlDXeC8+7cbK6f0E0WcyMWDg
3N7E3zD5pipqq5mQG90s6HBUzZp94tArjPLUddBfJhmBzmMQEOihEYzXNThOCF9Va+uXFnqt9elV
4Wb9obWs6drFjH1MHI9AZThR5rjpwZKldDj1ath0ht+EeBscsde4LLu8kNoVPjsM5bQytMs3WegM
vauOcjDtu2Rk9w4bA8tSxZiXitICELsp27JGUjLmzHAZen5xFEdTapH+szSn+phWpdWBpEcuw5PI
uCh06frdWkFWM3JFUTcx0WSuJN2yTEK84OJqFEEPWicTLjpu32yM40ol6/Y6bO6vsmuyBzxe8tXO
oICC1snxjLzdnX9jWs6z+PM//+Ppe5WRbNVTNL7IX6yzMET/9hz/7raFT9LUvxot3v7JX0YLnXxR
W3csqkYW7zfz50+3rWGsoBYbnSZu1xVkjS/0p9PCAle9/ivm/xx+11TE/3ZaWDgtTKjE/LhVxIgq
91/AtFA0/LKeOzpdM74XmGN6dXy993t61Xp9PxXuCF5doI/guDQyk2MM77iNftEI5ZsV2xsIyWFf
mEQL618llYFBdS+q/mxWtlw6ZAicd7Yl2l0x5liUyCPyP2foA7DwhUNe08gOBWj8emdbI3Q17Gwz
uLBxpF1N/WxW6tgNHKRVv1kkUWbiqi7nvI6UyiiRAwLOLp04n0684Eo/5pk7X81Q5c5I/AQbvPug
9Y3aj43yklAngyRwcnGZr/NI4tRxHzlOYZ5TN8O0lAFLY+hfreBOBNywPjj8jZipFsyxbkn211LA
rtSFyTtEPaquMj1lomKm627BgQh2Y0DESrmvJ1XumS2XfuQETXZ0q6T1rgNGMqjeZvJrWk0Dl+eK
We5lV6iBYw8H2rSyi4OgSt/lS+cxYkFeQcSJvcIJKxWrG9OJ60eEOMy/XSQNkP0Jl0v7noUlEbOJ
gzGZFzpGQDxzp1UPsrPnL/HSMPLqklZMYAxoBVGQO/yidqwP5gPDt/ZydIxy35tut7WNQm1hsrUG
Y9buckTDKyJ0+uOWhxR8ZFaMztFFX/MlyAkxYp+EZEWjr5U7Yll0MtJ41CONVqt+17rF1sRqVu0t
Wcaswc5EyyqX5Kb3ea7hI66Ux6zS7hoiyWxOJq6qwE/E0KsTNfg7cxzH7SjzJgTWqZBGmpLQOiLL
hBOuDfBXL870p8UxMKs5Ky1oNbFu9dqenyogzOYu6CpnPzST+AxoPb1Ao1A+ILMkaVDn/BgKZHKH
UqWJHpmdd1NVM9kBJiL+DlVZC1qmNHhojMlQW/b8djerZNoyfQxuJqcFJRF3SB1aOznBZZ28TWNV
BQoSC0iJkw6YTnOtOco4N4+SZLSIblb8jbeh46THfPwZHTGwt7mXqtgnsjXPgGWH49hV3s4sKXE3
QR33n31bveiotSI107qLUbVUG96A7Mjab5HakiA6DBPXNy4rlyNakTr+42re3qPeJJTPwYNgRHBj
AC3gQ7SiPm7PDqKm65YT9nMpqzga2mT+Ahu2OsQLBshQ0/Qg3whwO1sFpPlmbqb6mtiyHAt0k+fZ
BlFiHDp9sY5k4+beTVqJUieoj3WQJV8lBt+J3kpcfipsYYYorcReAXiV4C/CzottbJJ2od8hnBjC
GXlKsGtqCDysLIgsLoTwc2RgUtx0VRzselcv/6yNYibDqW+ImiMJSxHosqJzXsgNtSNiYcaQbDpk
hyV7fWObT0zRvjpl54QwXCl9A2V6XRG11CtJCRCyTcXg3o69Fid8bOG4w9z9e1f8QY34x13RwbL3
gfuwK1AsPvW/7qTrv/kLQhH8AQjBpcEZ2PRaf0lxsP+g+Atcl7xNBz9ZQBn817bo/oESZ00XCDgK
4ZD527Zo/cEGxt8mgRRIBdrhf2VfxPT0675I25X/o73DEI4eoPO+GEXeZvJYkxzllL4f4kxDhVZL
tV/idDqVSescsEUja2iIMP1Ojpl36RR2y5ZiGOOnphkAwPRCewJyqV8VuMzQU8TW2eXFIo1SuHWU
9LZ3nZaq/zTnKjsj6yn3BWKPY0Xn+VtDWhtuQy8/oUHdyrlvn2nk5wfMhSBraZROHbNUsbzoAlJy
FicuA5GpMD8ziyhOQV3WF7FnlfvB6jfMseurxoGAFZRxFWl5lZ4M1Y/HOqvAiVYky0Smlninqh0E
4TDldNMIv9yL0oeM1CcqRxQwmXcIPYJrBLn6lTFn+hXHNADRqrHaHfV8uUd/kzwYQRZcG1pxa0zu
cAUW/rzoMz1aF80caVeBBipBWK8cauBnVmClfAO3R9jR4L4NkMmR8uuhUrSdiWhDVsq9U+ri+8ge
vbM6C4F6RhgeLPfivrVzt91MpZ3vRTXlh6CXMhrtsSI3dTboWZnD18bP4hs5pOOdbLLlBd0PALFu
sO6SAmuJNefdtWsBBmIcQECOaWa7Noa4qU9u+1xZwxQh0vZ2QpVq7xkFv0YCT9Eu6vIA9IfoUvLu
vmuBtSZnoRkPxIVZJ0d71e0MGbrGQm/qqHfiK2D01VHztWNZeEVEkBNoBPwD+7ZVzmsSgATqc5ld
SNce964exISHp9Ut88uF3U3LixMDr1jbWrS7LgRi3i/JnAWPXutWW2ohcYqFO34WamzPQWxnVwtt
sKux19EFwxPIvsbS7i/zQS8/240t9hVn0GAzojg8OFMJ5IgsPetumb3sKklsCK6eV5YbgAn0WWCJ
s5FBCKJ2ttSlizzhNiDm7ETXw43DfLHLl2GaxHXsuuVhngbrwmUwuK+Emz0Ovpc9tIJ4qZoA0rsK
HephIl7vGkWKdWGOTnPohia5kcR3nnMAQ+FU9eWx0oYjgepjzN7o+NdmK8zHmgHhVZvYxTGj/XzI
CYes4EP3Jaf/1LkpxXhhpqPN4wiAXdPlllOefGI0C+9yngpja4rYe2qt8U+nJUErAY27qRDzEgcZ
2zv6pn40e7X5xbKLl3m0RBJqiW0+en59bpSF0LkX837Ra/2O1BMXqTORhidHY75OMejr16miRxiO
mts+9XGX33pJ0aI9tazgBdRUuq8V/yhZsvLez/QKuzE2CJ2x3UWecBNHktOOcPzcCM1m9dmzevmM
TVF1gLyNM/K4IzuYe2rGdo/UAcGU68Fkzcq8uGNuVn5y4vLgzqM8ufFSH+2iaqJeDMVmYLF8lE2Q
HT2ninczoNIIoyAgu3rKP4keg/UytU1oFbQ5lnSGBi2c4gHt63Tv0Q27E7CZIZ8JDqpdWpgRVkRx
q0GhGyHdX7QdopUwCHaOzKt93I/6FTqNct+WdyqO1YO2TusK1zLucj2xSCjzdbjPI97AWlfdiyVn
vgna+1GfvH1jjNNWlSTPU3xZ/oP0UKJvhE549mb05gZB1pzcLH1T7LWJFJjNPDte2KnJDWCyAOlK
4nk7QOTmCNEMcM6DQN1DQIUhVJIcRoGftCxzdKk2gej0C6pfiN11rG8NQ3vIAfX78PiohrIygOPg
Iu8P8KuFpZZ9BbKhw4vr9S11Zbsx86J5Lt0UvW6TBndO5bvHvnemarNGO99lUisiz6tDhFH9k0sw
5D7nqHer926Febey9GsFfDf042pBZuqX7hb5GQF27BrXwAXTr4BksstqUd8YdboHdsSFVNxeXfeJ
DYiWvsJln7t1KGctuKwGu7uVedxe5Yhfv2hxVl5zNhBbOMbJzgiaJFrMVGydvrW+0s43Dy5c420X
+80unXLzz8VLBvJGA/FkW+26uQyL/UCLIrtHuqzKDVARbGZ5kOwHXBsIpJMx1Iw4vTVI4t4A0XQ2
Kmmnz/rApa9TZ4nmWYptP5n+hQ/uKacj26Q3+JhHHjQK8kBDScCdHRDQJtawr7NJrsJ9cV+SjJjh
u9qisV5uC2XZW6GwZMAX05ccZV5tb5xk2rlto64NlZgnUILFt7E1i2jEdYfVge024xW/6LGZHtDy
IBsv2i54LFw3i6p61B/KGCwSKxNGTGlGs+k6t8uQay8Cr+NJSF/bYW7pb/DPl0fH1uIdIJ3+rpxH
/x4hCeA1vdU/p+Dq+Dgv1sJ51tydxYHhupvb57pf5hd9GVj+aSEv2EImO9lP1mhECx24jdlrF+SN
mbRC6y6baGg1I+Lx1WamZ6xomX63nh7Y+/M8OQ8OhQgxmy3Z47UVyLs2actDQ6RdRhiqRxrD0ndY
or3Yb1+DThRHVabmxp5G7TIzSbPw6+oWOH9xkM7w6HQOFKOmbxnJwAV6LqT7iBHrSY+HV1Tmjz6p
wbWxcDZYRmYxVlsdu9qb4YpmZ7NNxEmknndWojAJKhzrFwhU01cUfY8+rDmNRz3DTlmcBGI4fTiJ
tm+V3HOibhf3ilIL0N6G0Abd2WY4luztOpa9nEwH5ug4Df5tK0lje+jd+HXIZsvnzDZy46CamLg2
YHWRcKDvh5mqZ1+lornKMJM1j4IFlNprtfhAmtu12HmqEwHV5G5groso8ooLUtbr09Bl3qMzO+03
WqxJfhszSbjwUsfozoTSpjFx1EVJg2DqxwXReSKd/Dsw0F67d1DyOsCiVFxvGi0rCPr1MiuqNX3e
o8qsd8rtvwLBGVFNJmWkc/aHyGN/nTRzPLgEPYZzJUkhaOppF5Qe5SThi1lnXxKrADZK1xpnU5Cp
8EXzAJJRi9zXS1puU/zyJ3YQ7XOqZcklhCMjxPQ5X3OWba877uZpkZzW0mx8sotgPnWBq6Ex1Ya9
UU/zBgUh5RZRDQNgR6u7yLIj/mo0mjPAxFhij8FsCyEDXTdYN/xj9l21EDmQt1pyXGxsEETsxaeu
MrOT1JNL1yhLfAuGuAS/JKM58dpvg+WiI5+ceZ+1Ktvh9wq2WqJzuCbzYTvGtqCXmeKYkqjEQ0ye
/mGgtcI00iQLhEzCV5sk2zkUGKVBcxNCa3wnC8L1v8KfxNT+MtgeEUb3cWuvcxbkK1lV/vsQ9/86
xIHsYLr4fx/icOjUf77I7GX4pSP645/9PMeBhFkblPiETYt+g2/Qw/zZ3vSsP1Bwkb5EC9M2AO3R
evwLQ23+oSPXRGPDGe7HYe0vkIyt/8ERjuQ1a2VHczL812CCbxlx/zNU4EOQqgUMzsDgYWWGlv3r
TMUxZ46a+EcOTZ0YOHMz3itk04go5cPsFs8+47+NaBZJwuwUhMCL+s00zcXJJ+071KV/9pVPcGeJ
4Wcaykvl2yRxaC5laWeRE6mx+OY0Z+bBph1C/UGHs9IjVkvCizF87USgcfByByRqgXknsFtCu2Uh
yW2/2BqtN20Sg8/kpVFhzig31NlfIsz7D6oM2ACyZtOKZsVt5s+uJvSorPjrhcF6SLuzOwrVPRh+
KtCVQfXNUZdtq9j7gmTjU24Zz6rj4xFfP5RN9sorBOasgXaPtvHOwJ6GkJnfxxWT3Opd++BiKceA
B2Ru1Pj16oRR6VTVeqQ079h1/jGpUSDHPZeGYNRtIitkG3nxijoK0qrLpUSn3kd6yw8tFZfABsLG
r8Bl0P1jlfV9FHf8LaXzHZA2UOvFzK6JYm4OBPWKXVOygLqty/9a2HejP8jt+i9zG2hWFgygzMy1
kJ65BKK05NaRxnKXNOVdMJdqW/Z8JLBS58KxW77+aJnboeULWcItIqAS90UfUHPi041YjV/num2Y
CnVm6MQzJUQx00EDSvESl5rBdQjOqHfk1qpLbHQYt+ndYqS0pe/jO1IcWwkvO5NDW0BD5DSEjA6g
OZEkh9Hn6lk9Hzo63tE3tPPbQwKun3OG3faR8HgOjNm6q5SPA0cPziMn4dAs+I9Kd+4U2QthkhNO
y0kh2Bm4H6ImqaaTF0iTht36FEn+LmOC66w36Ho1vbn1FFNMNwbavZg8WHTUIQc4zjXP8yvOAaoP
JgubcsyeQVZw7xf+RBgDjG9Dq6NR+qAIMI2EVcVVgqyLi94Ty5Xe9kGIMP7h7X5XsMCx5vNYyZHf
F0NjsNoEuPUthcXg+uVJN5JXXnKeatZylBs8nb7Ho9Ks7wJ9xPm+TPkjvpBnQPXc/ymgmBL4kAcu
F43oMylxcju2vCeeN8ankZncVcqRBGJC/+DBEMLZzB32Bx4mn7fx7WIQsqM4g/FXRVE9V7Ast4Te
tieoCs6WSCncH0UPIZnD5Keqz0VoMq3YjIBAQwtj0g4rp7ntsBBFVWdzSXXFd0jS/sLvtWlPiwXz
YRtnkNUW0L0eLyVHxctsBMJNS4KnDKIa4pW6uPJNXlRLZyEg/q+knE3Krc57Apkxu1Opc/32egFN
Xg66AS95shkiDLTtN1C5mw2jyD6y8WOcklSv9xM1zGr54jUsmE++3VvGk6v7ob50ybhjCeERqAUk
aGvk2rw95YtXEHwmumDPsaHYzjitdnT3ywi7pQjfHoD1CecVv8vspd5bM8tYoHi/7SVYDm+3WQ7k
dciOx4jektyq3IifIJpoBwf0dojZgDJxMLRDHFisXk72TOHGLTCKV86/KJwgwm1JGcnCypJBaNZG
fNK7ob70Mn26diZn74/5MyZUQim8sb6MC7MgqoY3ApOrdkgc3tOGzv/l7KXBznN5yOrKqi/Bv/Pp
WI9ZeysakSwOxsKBeLLJMClhvOORuATwr0K7t9zQk7oV4YTqN63Zd8fRRcXm1aRVT1mlAwYl5kaD
JkYahsHiNnLr3mx68WDepQzq8bPU815IFhNcTSoELIoWVvEVIEjwFmGDPBDDxH8QifRjbTID4M5v
L63KXEUvQTvzs9Nbp+OR6Bz7zpxX2ioM9Y3D+ZxtZ+RhaidBIzzj/jWlHqFGqC8n156uB6945ZjF
pSFHCkA5l5hsgyIqKn7kYHBf7ZopDHz2PtJQMW8gsWBfK7X41qScj3AIlHs/bl9JYdt41ZADQmB8
kWSsJ7ZWZjuj614QaTnMypmFNK33pWrsZlto6a02DteEW+UbC8Lpac7I5maMRWoJhMlZ36JJhYpY
Txpwv6VcvhVOCaXapSJwt8Dhe42g6y5/NvNmijjYBRBKdfPsJEUZobIlxnxO+uGEeY1baOnkIWzi
xLCHba4zAEibTN6miY2CH0RGSSsOtxfDtbmQ+pbhQNdvOS4LI3TbViM+bXjSZNN8h7X7Ymd6M2wS
aype/dbSAL3hVlqIWwkmcoLqrtkFVYE7GvRLS+pZ3vHO57bSooStKML6EV/hbVy0XWnhYbouzNT3
GHzYfXXAtSq1B6ABKkxB55aXcRpYOJu60oCSPxdtdu0ooCzbBMKi9qkeKB9wbp//Vord/qhgPkqw
oK5BJeITXuEhEEYO9mtdUwaaudhNR0ZMNnMKWdJXWCM+S5B/hhMAaIKImdDO/tGU8qtG5b/YO7Pl
uI10675KvwAcQGL+L1FzkSySxVk3CEokMc9TIp/+LNBS29J/2n187xuFwjLJKhaQ+Ia91/6sp6BD
MqmhnV5MB7/UU/5sCTyk9bA3ps/DjnvQTGDxT5CaQLp9/PW7ZJ7/J7XR95/msg4gFwrq3a/SOhLm
NIul7bDPZy6QpRLwMwahEYO39edP+kff8F82OSgM/nKTs37PX6fX9v3Pm5zfv+ZHBwAYnKBVrFAY
ljAqLmX+jw7ApjkghhvKpIGOfxEx/Fjk+L9x6dIdwMaiRTCXtuE7SZIcGrj/kKthiUPNEsDO/4bA
AcfUL5fQIuZnMYRoDbIee6ZfLtgspSYylN/sZ2eOn1mll/XaqU1W7hJG6Uq6Lfl8dTPf5BX+/lUe
U1Tprg+JQ0f/MyYlNaepjOcwGQpUpmXmrBBATe+yd7Tl6Z4yx2MxkUf9TYnjLEDH8IUMAm5Flq3b
MmJzPpt6tAFN65CrYrnJPqQmu0t7HniSSeYpT23aeG+gbnRh51iLz6I9OoaeURLwcNdccu77uG0C
Bi7thcT9DwrBZEQv7XRHpAIZdTht64OrkvAAU6Y/k2RvHVkFfUndRntO8oLnT1M6gdXIcsfUIdrU
S4NSe119rSSHRCG725HMEFsjTbEE4ECQnLjlXs+2vp/F69k2tSCl+t9ht/+o2SoQ2uj3uL9RcG/s
mrW8aHroIIqfHo/i1jGlHiRuf0VMHrwPQZFhePfhOFwZQA6CGEnd1CjjUvIQYEBLfIzwpuUPOGFz
cWl59TP+MVgWRi8h90ZfKLAPy9wvWJYV2Zx9aWxqP7eq7gAkqRc4jfq6Rm28RoU9bIclwgsX5IpL
8F6a4SZ0EQRkBE7yEgAu2Xxrv5HmDtO7fm1mmrZlQw+ytvPzx4pm7tGQJjXRUvk3UWhucYtIFiEI
qWO9+OhUfaM7lgK1pB17rI2vFeya+xrtB8rMkMxBs843E2XgTT5BevGUx967b65n/LfPVubdO11S
7SpJqK7RzcxWwszdKDh7e79xvA2akodc1UTwoJd5iKwwOlrwNV1KlAWS7ofDN00HR7hyG9287QF6
n4qkIZVxgj1FcxI3apPH5Z2pGXKD06GN16Iyz13es2r3QtjrZozFmDuH5IoxWceYfqBuycbftY3J
GDGqDYMCYa4Q3dtkrHijU52EIYcL3BI9XI5Wsx9c3KoXVuHoZJv047oD7b4qklQkSBGyqtoapCy1
rB9n/QKsjN0fKubgaHHSfv4gBkVpO9KTq/Bj9t3pKhfESgYR3lYqwAR9HA98huWpcffPQf9/AQYv
DircOP953HN6n/51fG+79/nPZ/33L/tx2Ju/sXnnlEcphjj7cwH/x2Fv81+QreIPNI0/HfYWijUS
xVziwFjdU7ew0P/jsMcLw4yIf9GthcX3dw57UMP//2FPSIX3qWfDYfRrvcBMhv5gsEkrGLXEXJUt
IwJ4Sm12EYejfSGZcYx3Eakmx0pHCHbgeO9v4xrH/y5LDcDobTvmRRBnFPcu7He0sBy2oiYwOopY
rd76Y6fv3KykzvebdKWkNp2izIhNmnn0aFKU9jP4r9fcmIk8zIv7kY3yXZ9V6hYk431VRyma6ZpQ
scrJw44AadrflkbwCrs4wUBe6hnnDoxI0Ne9/uxnBseWpiXiXJZTduxaWtKqoEFyar5wclzypGxX
ngpJ/2lohnEOlWAC1Gn+RydaanOc+1Dxx0K1BIXyYGE5kNWv5kiroyb6emV1dFXLLwoPOdgxN/7K
54/nB0kdaB5jbA921ipvhyPar8CGDQeVpdYKewdf2NkTmbSiBBTLM8kv/KcxhZiyKnNPf0YGrq6c
mrbSFktHqRM51E90YKNGd68MbwInl2rztkvoDqekMgdQ7X5rk0tAqnQwdabat6k3FGtRR9rLMJj2
HeFTRRE4g2lctl7n67tF1vY4Z7SN6zGC1dcW3pI9RNNMlmkRy2uvzrUPFU+sl2nfEU/J+I0WRp5q
9Je7z9fXLa+KK7slyYc/DyLv+TBKVnBMytxy2i5d624Agg+9plbbBFvepoOGyFZyBFLv9om4jDxj
wAM19PDqLh0RxgC5ciNTewfZqbmNbTdLdqYy0QSmodJwrFQLI7k6QC0idqhPx2HbJ5F4rjVwm1uj
nj19x6VC/klfcC14dXZkDtSt+emMFNk4YmdBQnNXsUd8bDUzv4vrdl427t0lrB2fnfrobWNTtM4a
qAfYFXuILhilx0/pvEzKiKG60Go+bGhyGY/H3mbuVvEmP8eIthJdyZDetxBPNZQojt87gUxr9aLI
PNoxCSXjIxfmx+SYLIzCtoAeZJhKAlITaULpkOp9fMrYBNjKh44GK8oRdLp45vmEg7Gt3HRDTmp3
Bv85X8E2yVZmlSVr1euoJkhGkSvCS70d9lNjS3iq+QgRItsVntTY6zkxgdSyTwpvBwwacXVlPaP5
Hy4LW38iBn6mVRybCTPToDS1GbP8qohChQ3WcJxtAvNxBbkVCIyelcco9CyShgevvVYqr26AHRe3
nWY622meixs7sYzjEJV+YLAK2xS4HPfKdfoNLj91jK0mI9tLTOZqym3zQRLaGgDlpGbAF8WNCj0v
sDoSYImJS7ioJlZVyInkZtmE5XhZU7UakKrtUMcQrGr66bUE03dRakS69cCGNmM8kj6uu+xFCEzI
ofp7mm9d5n6TDGtsle7zqLTkKjSMaMnmSFkRVAfoWM5a1T7DIcd0Jh7mVUxaU2qyPdb5mlfV+Nz0
WtrKco9tqLlrfMiHm2k0YiQUo5ngkSzVAwsefaPSJj6N+L6OSq+rR81h6yMaF+EvSqCKDhgNvbYh
Et2oF3SnxbR9yfMYShu2GAeFwUByYoblOPPFFNbVbSxV9+Tz/k1EM0qmh7qoCPdwVNQe2QrFK7Db
gwoyEmp7stZtVvd6A3hKxW5lYMuoWwJ1RXzvuJGuMN4RQCHaIr0Y+8XyPLaspwljd5LAdFg+tf4o
d7EekbsyF6+V0huWVLM4VCGqXUo+gq6ynMMfbSiwvEmmJj+CTMoVvML2pvWy7Pg5NKqYC9wKZ+RU
6gigffk8WfBThh++LLJjXnGHMnYx9N/votrh0JLQzh4xOHhrR9M5VkdRYSlwZ54wbeUw4Ys4nglg
FRa3wyTOBsbvdUXNL9elwNq3gjqkriZ9GnH+LCLME0/7+dQxrJzX1bK96Fg9XLUoxn83t/3TF/+X
vhioMZ3if66WfngF/lV9/GtF0GXxNfnJBPD71/8omxzKJjpj7NWfS7KlOPpRNrm/UZd5PjUTXuCl
Tf6jSfZ+Qx3pL4pGA7SJ6/BPf9RNOABAE/gegmIh+Ke/0yT/InZETYmP1QJ3KvAn4Bj+pUcmyJAS
Zpb6HkooKuwP0o+u5RweUs9blxP21UQ/EiSyoe94NjIaQbP7ffzyTf6/6L36X8ZZy+bxp0nP8hKW
JFa2dVDLFlvDT96nimyx2vMifV+1s34KrefZry+7MduUBdEwAp9f3wxrv45K/PfhVU0htcNBVW4m
8WKxilEx828tutJ5sCaVt+19cJGucWoWfbRljwHTx7U2RhwJ9TcLqQ6MxWAoMfVlX1JWJ8tfZ4tc
6GR+6BSkpYK4Im0z2/7eqsh/xPDlXLIRKMkl1cnODLS2M821niFuNsvH2YPDyjWxl6hQCjKhyQK7
iIYJFXyqsKTi4fVyVlgemdF2yqyT0KlNl12yrL+lURs2siSEXkPh4fgvhklxEXE4d7wCOqDAd8yV
5bgQrXzinDmZq3w9ymJF6OtZatggmqndZF2xGfv6C+29vkvy4Sbq3As2il8VaV6ciKvGmfIdyCcv
mHoeJWZZfiukpVP5knI669O30orWEaHUl2U32ew261XtdPww6p3MvI6KNFr904v9X3oxQ+Du+avT
ZfdetdHPB8r3r/l+onj6b8tIC4KALgCkWIvx//uJ4tm/oREFquq6PNOROPFPP8ZunDs/ThCdwBaM
hpjYPZcWXvydA4Sz59fbdxn88c10BxORsB1+0J+ti76oSi+svHwPFudlosQO+i6rNrR+z9hz7lp0
LaU+NM9eYTwj5De2g0vZL8djP7veRmmNOJjogQ9EiqqAhBL74A9ZvuMswJiiNWjdRr/9mMORmN6Y
Sh9Yin6pRXn9hfGfftYw7e6wuQ9rE2LnqvaSZAv6Dx1u5J4Z4nk3k0qYDPXFBWCNie8GYdCEz7bp
NIEIbLLao963C6vsGrYMJpXe6oM0l4e2c9UtDaO9rtzJXRnzNNwT7J6tolmGhxhwRmBpxu1EIuiu
66MnxyKfFEtLvnOLPL7q9cS4SE1ek07A1A2b/nZjoxK9wfiFFz1/HBDqDCaWmbnBzFi44ytpSSzI
zXFat6hnvibM8i6yyVJM/xSYUpK7djZSyw08O3c3lXO3mqxcbhiLvQHxNLfWIMJ1kjnWsud+FeOM
XK8fj6mfFVuGRNM6VWT6qR7+NA5zqK9ueS6abtt/Zm5o1+ESuDZojdzXpj8Fklrr7Ncif+5Hu35i
6LYtCChlLlecMxoo8jG8lvxiDzXaKhzyq7Y2o2kjSNlbNWWTPQ+qSm4zM2aV3UHlME1oZkEdje0d
i5nwjsm/fWFls3IDraBzR1fcsFKpkxP50tMzltjuzSdg8VEWJnA9pPUTCy3Xu4xHn7y5iRV5M8CA
dydQGmVuYuvKxWjve9OrX9wkxRWVumP+WGYlsoCc4C48r8bJKpXuBpRlFZHVet1euo3w1thtDX55
vsAzFg/gMDpRlwxSQ8ptVZHM1WiK8WEDX6lBf5thsDIqUg15IlQXM6P2rZjc9IsrRg0jeggxCNl9
+JiKvLrzzBCGW5FUd0jJjZPpyOrCmlL/ElF5+qWGIIb+yXDJ5EoyZWyLFBk5i0t5M9sji/E+49E3
AJbYdAm+NjUBxDH7CTOsDXF63Tae9cowkFY4gX/QDq550ExzSFcR3ec+WojvbTxKCKsQ/7DWLDY2
ALb3Y2WXRzaHCY9TxHVrAI3zjYi4NO0BUcTe7kbefDNH8xkvA6+xADh7hstYXRBK49CwER62wS/A
N2RWGzfYAMklm0cSNWVf1C8x998ugYOCqhb91zoElbVk1BKyVhtlcpoRi7wljRp3xmDW77Zs5U04
4N/+fGVpmNbedgTVDwgQ6/RtpGIMD4jfoEyGsXdrSa5Ba8kgo9m3aHHL4b5LrWlVObPDrH55471Z
zOcZt9GDKwv+R7oncbDH34lL1bzRwavv0slKv3xeaczj+Wkq8rHsGbMATAORYoOWtbqe6gUEEEcp
AZmqyR8tfxJPU0m4MXltlnuLwtI6VFkoz4ZE/Ny2zJlFNLhAo0c+1IGgtyMCBT41waJ5m09F/9a7
cYIiunKuiWudL5rQEOdQT73z1MB3i7kikXn6dvjFF+wAUIvGCSN6kja10eMnujM0jzyKtTv43BhU
SBi+Qybq7yqmvZvPT6uYSGODk9V5qy4LS1jt/eitKso7NuuWfWk0nRUix2D5sXYivv2w8AldwpdY
3/JH4mE3w2W4Ek2VrLpUnbqSVpClCcxWRlw4J0e7+lKSxh0Rn7PyvSvRD9f6FN3E4OWDHDY53NwP
e/IvoF7h39ZYsAj3LDtza47xrnfUY9R2ztrWpXfpOHzDOrQpaTSGbzOWbFFW557n2ACWt0LfmBjO
2arTB3KdjZNDYDqAVi9aO9jlVoZbWqukmE9QB+iMgVmH1dEs3fDG6DV5bUiRbr0qYmI1eU5M5mlG
L+2P1mZGNgJwFgfBODL3772siddaa7yRQL0aG/HelLD+GkLtLsjeBhEqCnzYwv7WGv2+9OxbPMBk
bI6Dec2MIHzRmOVA3/4GvwtpeNkVW0zpdLJzOW60wsTA3sFQCEQrRiotp7obmJ0CTEzVWzHaK6Fi
AAkoMrd1L+/KdKiPvpvtTHIYoPsqPuDEMbayGcIgnebsMnOMB2fWBWqc5pDJuTgQfGvuJw7hte4N
NTVmBjbLR5obKSS1VfXS4MgMJJCjyznT3WPLhb9LZ0df22P4ohtFs0JnEgzGjGOnPteJ574ngg2W
NTX6F9fRsMRk2X1vdOkrMmh4yunYBbgMvBXqzS4IO78/WnhSIMwqxXlgjvk+wumBIxfc20qxavfD
u6bo3uK5DzF1evOJ1NSp3pjRmBBs2AsMHKBYh40aRXlZGc4p58y/5bLCQOGExg0YCYsmACbdqiBX
Z5+VWb22OqxJnSHq9w7owwZhz2EuCIIz6/p1YNG3bhgdQjIan3WApCu94mnvi8beoWP4hjH7pYnN
nT434cPEGC4gV20MbJPpVAUH4qq1EKTOJfx/bkMWKGX0DMm2I4bRXPdgzC7RrUUbigTvjfnceHbt
xHjI2IBQQ7ARXXWWMx8nWGYo50XoQSwf04fUxbBhdVbx3rGreu/RE5B1WriLCC9cV6M2bnmmT9us
42ujwtwgQ9BPbphWtzjlJMKFhsrK1OxgqlvvVI/19KWEo/1lEoZ5cvDYrGwqrKDFBb1maEeAZtEn
g7uKS7tZhVnh+QuMILocJaaTYydCQwaEW6F09Jth60VNoXNLRI+9I7Vrx2i9VWYK2fAh4mUI20hj
wJYOl67dWlwxJZqNqrGR+lpq4jEoh+pUodE8EhLENq6xC2SETfjI+Ko/TwQTpBsFV4/cB7/UTn3k
2QcqhWxn6FWzSSTOYhZplbVhJPJRotO6NqB1PUxtMu1RpTdP8LsBnHMWriO1hOa6E1oYiwg+3VVA
sKnCinHUjnrFAVYzwttXIWlVddunqzScw23FepKXlTe72cq/uh1dUteG03XGwOaqDcsWJUjV7hrB
fniYsnBFzXAlK7jCmraLRIRRxFMvadtW9ToFXIsOrGnZXmZGkIBV2haW3q9YRFg7YhSuyPxEtFFp
PAYGlot23o03iklvkI3ERFTO6F3PU5PfNWk37ZkDai/op06oQ7v3ycUR0Dhzv/XBRm+HPKyhTuA8
bNskWQ+t4hYHGxTAqDrzBK2uwesO0O2HOeiwGD+atdzJSUZrhut3s2O6J5kIxI6el+7m0thh8cKk
Y7QbmIPRO9QVfN088kbou5uRYMSNhDd/TEajw9jfhQdEepdJ1Jyt0LbX+BDSA1R3eRGmHnTvdQpe
24Dxrs5+xulqXLgDcrBxky6263qXFYB4b8HoNWwuhyVslje8RM/6nzm0UbRk0ma/B9S605JWK6l/
1aVNqZKt0s9E23kJt5WfObf276G3PLfBQhUYVwT85CUZN8bBM1qB85mZy9PwSZKiiwF63BafwbrW
MN2FS9iuscTukk5dsfq3raveVs+NMpONqp1z4gO4TlXPgnuJ8M2xtlw3LrG+3RLwmy5Rv0Zn9FfT
Ev+bkAPcRrPYTLYYr7yRkGC0EtYRawaDUJsMYX8JE55cpzlHlCobSFjmeiZzGHrewuAe0tdpCSRO
PrOJQakdC4244iiF5Zw1XbmCjSBX4RJrXC8Bx7LHG6R7SFY1DF6YUS/Usvgh1vvNFWzWrabA7WiA
7KmsbzGSyDWRP/5xjhTJyuy+KPqjue2/6tbUv0HTTC+nJY5ZeB2oniWiGbHrnT4Ovo4emVHzOhv7
7KA+c52VsuZLK2kxjC2xzzmIgKsuLr7RgMItrgS+UmYOyHLxW1XrhPToZomR7rWmeHPHJVt6gmy8
BWw0bltDb18oX5wNICR57kPMT9RAZzMhqtr8TK022HcfEaVgZltCreUSb+1gaLlgeF5eqnxJv27m
Pr/Oysa1md8Sj102HUnZ4RKaXRgxjwL9M0ub1rCiDsh9743hEwfHGNnGOVkiuJFB1y9qieVWnwnd
42datwN+iyRyfSrvGbCz2DCUhw2sr7YdB+PGM9QhmZGt1tB6eECr7JQwBnox4IGia3ZRithljOIX
n32F2qHiEoooStLKg+VWJn5/jySmjcINuomSXVFA9dyreQU/XMF5wxkIG6Hpxo+4K4q9a/bJvm2m
GmNw+Z5JbHHdHLq0j91l1g4FfVbrnZ1CH2+iuK/P2LjUOkN4gWrb0vBSVWgNyHdZp74XHnlhDzR+
4dr142qLT9g75OQu/2Oa/9f/yW9hmI7NCPc/z5T3KK2S5M/b9+9f8n3oY9gAY5btOmA00yYNAK3T
96EP+6TfYD9bBkvv3xVV/x76CPEbS3woTyS5WZ9m+38PgQwmzGAMEfNBevzbZgv75xkuTDDS3jH0
kW+nM68mI/jnIRA+xVyl7KrucMvWPHNU0c1IyxlOrVRe+Je1FbW3ODDab1jX4LHEmXamuID2ZWnA
//KEAHv2sgj8ddCSa83Bxu1rWBflWL90us734XJEor/Ef9+ws6qhZtY2IdqxzLYD5LRNjYHhUmhw
+DijJ4J8s3lXoWI6q5Rdso+xL4gNbXgvWQgS42RN1rXGw/haljnbpbjrp1dSoeZX8q/mhJqKX9sq
jhATBC1L8C0dcHO0Z63+ypYofWVXM99o2YyxhALwZW5Vu2JEnbk0xap/H9vIoH8h1TuCvnMbxc4t
HQiLT0D24mGZ+mT/ZYz+Kfv8w+7y+RE4jufyqerIJUHm//wRFLBQUy3snDvVmv7BRguxqYVsiWOv
JApNE5EWI2lR+DeQRcQlLnbeWu14FcLcTKd7jGFWQTysDr4axisV2vEJCkL1BuJKeyLipTvHC1TL
TtL0iobawEq4dPK01N4uinFwDJ1ZXXte+9DDSNnb9XSJMU7ci1jsEHG/pQ3e+j/dJP/b7uBn1Qdv
2lqUqMukk7GqhWr05zddQz6NUOsBaauK8MVYPv0IpM0zrHB5owHeJm7JbA/Ai9G2x1SPQUECy7bj
aYKnR+pf68xYhi/2JK8XAdJxqtjZhTN/a+AwvpN9Y1xEmPmu48HBA4Db9cb2wkeGMWLnJ4xKSCNA
k53l+j5hX0LicavtsK8667lqUTroBde02evjha7Mt9IZLqdWGPt+CO39jGGmB9ND6jQ2jY20cS3o
TBm2dvKS1z7JAFY1fUtiJCF5b07fas7rA5lG7b7FABKgMqB5/FQOTPLMTZmdMBFyM3VZss/MNx1B
Vgs+jy30OmOtf+HxSAYY4clhnSQg41nBMxJT2E0Ey2908aU8E6IAWwF2dXpVxGZzSfKJeJpRTr57
OWUExhp6dYRcqCqlIo6+hE6092WdXECX1q9Cdkk3XmmMVzaVSk/LjhNl08Qq3c8tdhE0J5E4E0Yq
r7ve4BdK5tQWTiy+GXu5N7VM3Rbj1D1ZMdwLHwDjpUV4x0pnUvZf2Me/nFk4wmAdIKUEZ26yT4PL
+PO1IyKc6tHoaucYi/Ft7yPz0KAOPc5yWsQw2LbgdHPttJX6NglPrTp2OfPKmub4La0rRCQoPY5N
rzdPbmNhM49zfdegXpT+YiEZnOIBrAYK/7G1cx7miApzPvvLKiSQXO8jtelwNOPOqMQZeRLCIJis
i51Mm6+sxWTBcTVvCeURy4GKYKS1697Y2L0mNrhsgQykcpQnFsHq9vOyrVNcIEnizFdtg3PCqBHY
VYsax9MKtu2p0T2VmmpwDSVIm4o6BplHp5V8LfVs11StVqyw46BpMYfB2VmzQpiYebF37enEKm7+
+tb9tN/9cV4tv36kYh7pHOBelk3Ecmv/CXk4NVgE2H2HZ9HW6Gl7wzWCuW20u1QhCGkN1Dio+zvt
Pp0TNua2rP36imifWO48GLi05tyDDIVyhD1eNtav2egg4vEpiVAPGm34wtiKN7PMfA8oJbTt338D
rPJ4WY7guQwi/+c3UKqsa42YLUPusIUH5idPTR1F24a8RxAtJedM2EycF8LhiMEer23wRNV4rnX7
wpgwO3Pv4RUTc/VqStcAsSHxC4h6CLdN7oX3udvAV43LiI70r1/7L/Gun798CzOVYTA39QWr359f
OxPkpFXWZJ+rwUbuNHVd+MHVHHr7tmtz8hMSdZXKTl7nEN12/aeuSpSlc/DqZDx+ytAmZpKH3J5a
SFWNdk9Ukr/zJwshaNsM5bXyOtIlBO9/KshZYyk0dR9IYJmp+In1tQun4aAr5Y20NEreDNaUlTsX
WyOWDFsFchl49sMQPgmi4/cQVLwjCHtsXcjOt3lnRts6j+VL65Rq105jSO0dtxtVuqW36oWQ7/CI
Oa+g1KFv7WphbJRZQzOoMnLN2n1HNkoTmFldH3KLiVfpcqtTE8ibz1sv9LXorQ21GFhaxn8cmJ8d
lWzFmfaJUXmR4sRhbBS/6XWntim+zheuvPEdiMdygiy/mtQNj0OCNsNiM50EFowz5mitHswwbu/1
Wih2xfgdEcul38yqwFsexfKQTQLFyjIY1CzaRAJlu7XNQPaElp1nyV9fCBSJfNI/3Ybo8KkZ4CfZ
n+XgL2UDZzWOM6jgZ7ryHru6zg0WfJ7N+SQZiYQNGFSQJ0mAUz7aUorVr47oFWsgzqRNVHSHGMwu
OuI0PzYJI7pgLvQkW41amhRwNcpt3zC5CriT9K8zXNGHJYv6q6DZfx8S19LWeIILd93FXgXignLs
aiSnFZ2VPnMdWCVy99zMw3ybG2AAAl8Vw96jc1rPqnYP0ioemLcbSHbibs5XmiCJrHG0WyYh87Tu
Bn14I5mRIzIrF0Iotk9pqG5ncdfu3RxSYaAvn2s9Jf0TPMQ9OniWKlIkauOb85NR12imK/gNvJ6Y
2KeUGwKNPRdrKjprRT6N+w28arFuiR48Vkaq75VPVhkjB9XsFGOj6krI0PJXcFniR54DyWOnpXB2
VD2ZKLaTIn3qWDGw5cgaJ9rH1C3wAE1Og6AjuulN813jrI3TUuC0sjrqHlJ+jbzgdUtjGBGji6aS
/QsGs27IOPIQIvGL6qaWv4f9wG0ASQHJm+d0lrXOMbXdR1HfHULd4qmjjNT8GpPijG7VcOrsQuv7
pfzx59uoJw5zo5jFfC1yFKyrvkHItGy79JVWouGPbKSpMxcC439Yghdk/cRMG9F6PBuVSjyup0Hd
piXykcBwU3luqS33MAN9eHWEw34I0OlEMCltg9AGIaLHYBcuQqumDYY7+C644uKV09LZIjznKkwa
qsxARu26xwhHI1uH+joxVf6BXfRM65wnK5uyNQwmoicZHWbFyXWL+EYU7rTiYcAUo/Nndft5I/0j
lrr/a0gq1dNfU1Lv3+XPMLjvX/G9sfVNuG7Amn3Dd9zvCvEfja3u/IZminicRV/8yXX7t5rB+c0i
IEa4wMgtHdEQxcN3dYOw8RfBbaMz0AluWfByf0cfZf3SV9k8Im0LGAGKIkN3TH7Wz49KvSdLqmHQ
zbhTtE+jZrlBl5OzI0V+UobWbGKqxkCyYzi7k3dFAzw+Y4dv7upKu2v0tjsOM9rgxnN5ErCBPcyE
h4S7kaQKHiuN9jq4LsmbMFebPXGscCFtW0TdTenamMQti1FmEWhlbrgHxehdnFCd6tVDlzcCUzwF
c2UiFcbEfOUBN1ryRcdJScnsdGQvSSACku2tUpHujoym2rZ5yD3OVxm4ZZEboC2lA89MhH6/cWPd
6rZxbokaawuLYBGkZUbrxeN4ngklwwNvHN1qFo8W7s2G5WRl0D/2VihRiQt3tg8DkcZMMbM5cdP7
kDC6AQGWywNmHTOSfk3L0HuLnDRyYRN1hJFtYHHqIzS4Dmcwask2rUlkzq1uhyJNXHhQTBg3O37M
XHkhH0y9a3fbEUv+uCGtHeMjkzQsy1X9IsukL4KcqFEAs9IjdsqzX2aGuQFZu/GesvcuyvOaD2tI
rxr2ivtUTI9plZg7LFlpYBR+tM+wfS/RClH8BJZkilhnw9Dy5FVltRfxNAxPXVQwBsyhNhcyjoJy
xEs6Rs63XoZgYJj4MQnp2JdS+UvzEMnsUY4EBc6+kR4ZnnyNkoog9DAb7pQ3wE1SWgHbRjxqJkGt
tltPu86N3S2Lzx0qwPOokkcnF1TySX8BBGsipTU6qbhBFDb0L1XRHYuxKvdZnyCYAU6DuY3h91w7
F3VNcmRLDmBMmioa5ewRme6yKdBw+Bbju5OUDlprFd5MfuWwJFgycam5gs4M19k8ZDtrtAzccuO1
QDi8HseRjZUR5jRBY3yJ5KO98nq6Vte29INbIb0ppbKDQYuAinWN9zUZxLhjo5l89eJGHmU7z5u6
sbUzkxYLB0D0HjKYv7a1/o4FJKvOYs53el1QLyd1ssdy5wRDojuBWc02unkbnTyTqAPnQrylSPK3
EbHMKzvW/N3oTO+VnRVE+OJOCzk7QOtQgEFHTL5WJlsw8gqJVY9algx6AVUBoOtSp5OYqjSaWn2E
7g8mLPCEvDdANQVtToZGHjLrLqeg6OoGc632ZM+hTuko02Pc2P5Kq6HQL9aTL4NyAXmgHkK0s7C4
G5Q4WKUhhI/ZcOGQ030zDK3XkFuhtI+qdzCTjB7KXVpxT4/WbToy750Lqe2BJQ3n2Rgn9y63svrG
0QXcN4i0yamGC0kdm7C0ckO3Wxn5kN53C2Cs1w0VQeutxLEcohZ6rNnz07iwMhWEU/9tyLE86+E4
3pDmZLBH4LJA65AbgQf55K2pOVQ3kWvNx6FPyj3033nydz2XllwU2ZQlDa82C6oO4rgBPDnhsR8i
7pfDEH8AKsMw4E0+Q2ZLb+rpJDy7e+lsrhbBxA1xtTEWOoFRfrGbEkb1BEcLRDkV7yybGG2kDpOi
ilNCYhUgf0fb2CZKDLOmVNbrxtywEgAyF4UIrTz1LA3Lf3STWmKk1F65pZ6ESvCkE9u4KZr+yJbB
OqXA49eIxVMU9clb2HntOhF18li0ab4gmu3kSsCBMIJiUIRyGYVxQ9v10OSCooaww2V4mVdHw++3
TGfHSzDQ9dla2EyZ1bmvorCZFmY+29D/Ye9MliNHrm37K8/eHGVw9Bi8SQSiYTDIYJfsJjBmsoi+
d0fjX38XWFXvqmR2r0lzaSDJVMpMJolwHD9777WrFYWhkpSP8TSzkYxX6tNSLuaNF0OxkzEh/URK
iY5NVzS/T71vvkFS66e2cGIPCNNoc2l0553RlenBL8e7MnWyXbYMx0mY8L1iqdd3iQ42S+zV95O9
vAGgcI9UDoe/emu492cnhWxf2COGPPnqLTmGVxN3PoUJV04pgqhQjGcbKVr5FTeOs8sNaVxjkUn3
AWabNdYZ7lhvgNlLgmQfO4LzAHE+w4t/0YY53kCgJDe0KB89Z7Y28wDAecRCtJOOlRzSEByOycJk
G+Y5mwvRH5ZVSQhseRMqTi0NAhTJHTXclCDxJe1yG28i+pOI6YFGPWsD6gLanFPh6qLp/tjN88FY
uvCqN8cY5D7xUt8Lq18LxdQwJmw448IwonYouiivmhJ6ZGANTyHF9pEdFEvU0dsVDbK7Cg3mzt5o
v+bO/1FlfrPT4aT25oBaTEGy5soF/IBy0BS/DogEo+g+V/t9KWN1LeZ1Zp+QzKn0qy8Wk8nZmlc8
oblQmJBJ80pTGng0CJ4ilNW08FKWsg0gHmyMgL+zKnJU36rgvOu8dw0elUogX+zSQr5bTVFcM8vG
2I5qSKz2tGxIVokzz8BwGDIHYbsovpQH8mFu9XvSrqkTDZBzky9wRuNGxCi/OUd/ESY/qxbaHhUO
/R1gjXgLo3K4nZxg5OWOodozkzeKe77asPudCzs3K5eBYZydl4orwxa4ZvdcBvxWGqfhplWz/OrZ
sW9zCuUismpYZQaqjBu3zO/xf7ar20Sfx0LybfCLd1UxknOYNpza2fgSLA0vDGk/sppCu0zQpPM5
4Fz3svKnhc9jW7ECuVJO5SG9+uDuQqPeD7muzpawph3UBawx9vJzSGNEBUKFm2lthZ0oSMW/1QXP
g2npu8IeKFqvsUt5m9RXM2GPouXLR6vM3/jYF/KG3HXwhC7Ir7XN5bFX5IrLGZNkGSb3aiinOxec
9xt54UdM6fjIyuTWsZrhaKsgsUFT5ytMMeYbjfvT+cH9Y6KkzON6JQPQKTEk3g4YHD/pcaIQsMNz
AQOE3vOksT4p7KldtsKQ+6xWNJdRaHk09ewf/dkN3qdiMN+UOf/K21hetGkb+W4k+XOkjsm+uJU3
7oTOZzzwZkvU2KUUKrTGkAue6/JEmNVDR1Hqw7SYg7nl1IQZCwcRvJEzlF9DT//b+kFN+JmSyWw2
i997h7YVLh8ZKrjBsQ6s/bcK1hd4N/uxpcl2paec2bznrwMevp+0DJ/KKY11lDcpHbaJ/Vl6g/tY
e5n1SyQ560ON6xhhJlPzVTs1bHCygk7niAzR/MssgzJqGzU86qnvrmIOz5uRhthDWHt3bDaQUn3p
RyOvg/koDJ3zOHuj/xknfrVNrcG/hITUXty2d26Eytyor2jjcTMbr3rT6hIfpI/iLO3mobedPoPO
aA63wGuQyc0Yzp4vWwURs8cKjIV+WC41LV2HRPT5PvYnuWfTh4rE13WQvWcccjePq0PHiuCF06x4
4RWnXtmJmI9FLuOjmfvZlelOTLxx553whxm45YwBx96C2/45sbJ8uR6NpWJjkfYnqB18IFJzKnb0
FYUnAqtQRKpZAM9wVjDBmJCzMof+XupZvpiBVp9IKOMxGJrwGiy7vFBJ2f9An6B3xx8amgHszoME
42JEZrrSzyFVgUjarjtMMGc4YfGKOSqMdNjaAADKdhl3Wc7n4Rpdpap2QVx6PyYS6t5rUhh4g8Zg
5s0aKCfkg9jPkn2sNyc7lgQetOQifRv9Cc5g46tHcIloX0NaGzdlPWdvgA3qPWRR+tIrPZdXShHK
z4M8CTaOUwC7GVbvhRnP8f3I//WIGXOGLxg+YoOsGcI69bOu6iYyUj/fgylNrvuakZTCQNjzshqr
J5ES50MLsg5TUBVnqoAA9oPBAY7V0XtraOg/bt+6+0nU0z0cnL6PXB1Xq4wOQykXhANrTRaPjrKj
8ufkzmrteHkI/LxvLjOrNzcKk9mk1QBklWcxLLAiD3FObpSyrHb4ZNzMsHdt6PyanMdGJl6BFqKW
JvD74ZiHaYWnml5zfQ3509h6Qy52RPnrHu0+5RylwhDK0+DZR0l9zYsVZBXoHLqp/WPPIlL8pMkv
jkwjj5NzhsejA3Rr9jlGjATjs6VG8EDAkjh9ZN+cR2m0RzUAtJpR9raV6IyDdr00GoHDnoiFtFc9
z2SkpJ2d2alm29hS/hdyhvPLrFfHETtgmR/mqn0aijDO3gT4nW2Fr/VGrpvGgP2MG3lDEPxO8jU5
eqpiBIdlZGxhcfvPOseKjtqgnV04lMV+sAb9YTJYE/lvCZFwP0ZpNA8Nv+1JIz/et23WvqZs7B5w
woCwbPHjs6BtIzcVdgt3Am8bkVD6vsyY6YC14WEuRsE2NG9uHWwsEdk3B+fnWLHvgtmna5HvABas
w3m37Fi7gn8u/Sujrceo4eL+IJMs3PeFaX24zuwcq6JvN3HBycQ6K9j4RIEOWWKPLAbd4GxnlceP
d0inn1B2xgOhvIs9I12adX8Z+Uo2vTStbWtZy7ETZccopZIzZYfBvCGwMe14brp9G4IMhQbE/YaH
0oRrnqXwMKt0F5a8xmPU2PeBmR4mml8djQz9z6BZbFtPXg0ropTD1jANhKbctvdN7NAHEfrGRWJ3
ZEuZHullLG/mQkG4SGpoCQlUL/hQafp723rOTRwjS0ZtlxxjdndOMXDwq5Y8LPrUVvfIcX0hR146
03KP8hXejnNS7Chq8Y5UJbk7q4RsbQ5Nc8pMcRcEQJ2GAZ/TVrXJx+DXeVQ3iyRiJbrgtjCwus2V
Cc+wjB1iE6H9lmBlJ2Ex0DRRZWn1ZrTDW0cl3YbyxAN4d2Fumnb8NMmtH0Fia/yZfcn3TylywS4m
FwJRJaQnnGw5tYeEQssP8AMpHjSCW1Y9v7YBl4iERaTuPuu8fGUnuz5vymx2ioJD1oO2jdaCH7bM
wviUZ4P7UQwzteeJSSu8vXyvL2d8T73FOy9x5u7ceHnN0zL4+A5R8a3eyc5lkhS4TPEfRMrBwA59
zwTFLJm3c3PESrquf2ZIKldh15WE6keNxzUwf59qrmg5se4jJTlkdAm53NOLwkag7X/JdJYnH3F2
YwaFf2KvFaXp0iKteB0vYKM4WX413uuCdXuSdT+5rzGKLXVGR7zOq6tatSMhlHFYXkYJSIB9z41t
V/Ezo9RTZnTd1u+lf52SzN52s2ZwbAAeT7rDAKGMPqpH9R6K7mYCQrhJc+uZmA6OutFx9q2Ht3Ny
7eAlnUW1AQpdR6GJRoNX0X1izQvDQxfWdb2k58ygqqb1h+MypI+9J74ARDD/LUxHMN/rx7Sx3uxU
lFf2WDufdBz0kZn0dtQa1fPsB/ZX21YGEEGo5hLrNTkZY25ZWGuveiBej2WrSXJBRWUQv4+mwoY7
jyAtN6D8HzqB+LBBI8N6wAJi2ruDg2kDPIDgjgNcriBHDX+LHrhNa7sNQZAx9hWtP6kE28xnwDOL
/mTVjJI6S2auOnHEj6r1b4rcJX/gOQzW5B0xaukiExvP0mW9G4NSkIoz0xYgihdc8V/4R0UdfFlo
O7RAc3gEWXoKW5OtuMvLVSDbQx9U3aEwimQ3e5iufch1kVvOJ53R02iY4rnnlYTxUrYbZa27wLZO
tkuo/I0vPHoWXMmUlwn3YLlMwlD7OBK8uR+nY95AARu79yTQJ+KHJkaa1rwqEuMmpmcULJvb7fLO
P7VilPvJRs/1C688tS7rP+Le+JYZ9YGVz1RION25T8b7MB9W5wBPfLy4u3Cu79G264jFDBQ0B1ul
b8gUHv7CAlFXxmWynJdMOMO1pJIxmvAYbxPIacStW4zQTSWOQHqMqHfVcFXLxGRzgV3XLNzPdorD
e0Uo+pjHE2p3s7wXCd5SSy723i/gkefS/hm7o3icAph33rxM/ZbaT0j+gz8+cvZZG1BS/dYnG37q
O5ZRpsi3Ijacm7IPDPYswCR2vVkUx9CrbxxZDttY246KrGwK1Q7qHy5rxDvkDt6PgpTVvsiW9mMQ
OORdsndVVACP+wUEjoomKCHGR+NV/cU3S+NIdnSAceP78zEocmJEBVckmLc59UZZcuoNJ9mRPll+
Mmfx0Ura6iPLRXBpJju+0TIF5JN5X0kvlnYTpsZwIoYU3uvZoXsng4m4bTNz+gFhWd1ZVuro234O
GtyUftUc2IICagql3UZahxAjMDH7kVdkc9RaWd1vM720+6yl3s4xY+NWZL0LvpCXwTGLx6clcX8w
IbiPXZw0+wTH5JHPwbLz+oHAfhg8E4/ghE9r6zExyUOglpJQGeKPaq4xwlZxQNSC0oyILobCuEax
9OwzcBMwi3JMr5kh5LxPvL7B7Zh56uTQ6aA3ngQwcEjiaV6XRJCtJnZhzDQVLCLg4znjHa3FLtyN
pn/uW4eagS4IwCrR1gdT3WTHt7R5TCdSLt68Zg7t2ylzzaeR34D+hE7pF1UQb+VjjNxks6BeqULL
cGOrFnc6T0+Hd3uSB2ocs7Nu27bHymuv2FuVMDEtE8WflqzgGch1EuKUeUOTwpfbp8C6C5XLI6Zb
qLzG3DG0kvkGSGuUsCYDe350VStZPplF6224hhEpI9X7jF4MW4vYUBLVSZzMETs1EknFOJOf4oO2
0xitMwb6tb7V4hXNCFq10Wi3XxPjNenk7h7GAnEcipJObQF+223VdEiyuLunRst6oRGjniPX4cDW
vSvuho5Wwk3ZjcHD4Pa8TznLmrtSG+MLSD11smlYUptKE9XpF0O+FEBHbk06Cg9WC1+Hy+tg3w84
Nh5CI+b60oPtuqYU26JLMytOcgjGR8uyWYbiv+BTSv6zTzeVG9QWMyMYrswdcj6UE4HqiDhRDiew
D5P8lg2/5H0S9nZJOtla3L30sKX3oJ52sewT6gKK4U4nA8UN3tJaO5s11JNJS8Epdzgq6zJdvsq2
Em+xGBjUtCfBl7Fguk1DiqkwSGfdi/JwcE9rHjRpHF5mPFIRl51sZyYDfTHGFJgbVqPXPY1eV+ME
pbQF1nsmj0ZqpfCFeW50M/2QeY2X2gMTGqXGhMzbOzHHicTnXHTtrUsnwLFKRbIbRt0eaFxx4H4V
PCVGP8mboKzsV7a3Bi+xqX0yme/OSM/TXkmmf9aZPlsaI31YSM1sgzDBxY6WsU3aobpRMvxljELs
OJzio5e6lGAD1rgJRz4adm6lu6xbfY8iuKtnb76aCAmePMOnHhvjSeRIbh2KiXHLvrk/DWmoboze
L86g+n5CRhG7MV7MPcHvj2Sp0q3l0PKNd5+1oogJ7nX98gxAKd77mFtwEFIYYfCgH9IRkMbYQ80o
hoadTVPUi8WiTUepPWNwFoT8pNswy+JqectKImNcFTS2r9mj6U4M6i7wG/bA9NWWEc1/Y/kwu2kW
LSkvm9wtMGYXyNlnwycR4CLfsGMVTBpNuhdFQGSx0bfo+PzvZnw/gBa7TNjU6CornsPBerUTDmvX
qHeZY+uITclHWK/mR2qro2lKCT0YkFVr32j2liic4+RUByfJH3TQclVwXHcbguFbe0AuNg27G2rz
Xtqhy++8RB1jwzoyWMnDqJ3x3cB2tbVs49U2hbk3NRPy3BnZoR15Uc+B+qjCvLufVHevGqtcNmYT
8GoX60UQ2tolQFnfxqaVXnW0QZxBj346hq9uGqumGpTzH5qtpqIe9OKrnMi9AX8+jy3tfn3ZvfxH
tv6XYvhYR9GM/2dD9lUzffzNjv3HL/hLtTZ/E67vizV+vzaR/alYhwjWjsXLxvIFgvG35xuLs0z/
3/91Vp0bUqBPXj/0+HX/TUKDe09YfzXf4BWB9YFT/N9QrPkU/JOjJ4TP5oDYXH09lm/b/+TtYici
x9rPgpPZVfO1kQ+MZWh/DzON8J9VPeorIhcOQMGStjyE2ri45frQv+UA8Lkc+4NxJxKf+TtlYXTn
2DJ+LrQVO9ddNs+/UpnlCd1J8LS2ca1slgGzJozES2IX0yn1vLhyuldEwaGbQZ6OT2kelJ/juLjn
sVPBc0p0qt9oBrSK6BGvAe6TAC0wuF4hHWRXo4sMl+M9VRuvDl2UwMr2PsnH0hJo+lcouPo2D+fx
RWad8wATVumI1Uj8xQW5uiTGeFOUivgkF6b8Tcd29wFDcXyZk67aWtxVvshGtyiAidt1m37272il
DKtoXuzhDgv7fKM5+RBZcQ9++ZVh3Dd1TojGH6vkdjQsVsZO65PGGQLesvgunTN+8ALZHW083EB7
Sj80rJJjSYvmjjBl+sY9ixSpHQCrGnzX9qkg9crHRaTpRbnqym1owjpmU5kcCLAFJ1At48Fs5hY1
qqq8xypNNKnvmvZzFkKpxQ6JhjMNqq4WDBVOE35yoZ3bLX5i39xSLIfWyC5wS41pB02pAPoM9kpv
rIaLUNnN4fXqG9q4xD0xP4VtcOss1Mrs49FXD6NfdccEF8+xMMzhZ2rEgdyGVG80W0d77WNXUjYF
1sbYNtbMN4fTXGLFr8uLQI00N0Gi8wtboUZtE9cfX0uFzMG1RwbXhG9wN6R6QWxgqxuebGKcMkpI
gsHvZ8VSp4rJdYaVv3KbusiZZqYtzJ5IeXm1lnenrO04TL8Gfhd1NKXuMrjXdvM1obI4zI+a+keY
5vJX3dsedPI4KJ9jBWAK+22H2gMAC9qSN360kATvkJ04/Nva3YeG3XMVsDubWZqS182ciemi5ZDk
z51JqpsLuRFkJOEEsAl58MWYsWz307vKor2u/OSni6WNjW6f8b1lpctEf+ZVuDQwAijtim+ZR8Oo
Eg2vQEeOb5M7YadchPUjCfgziERGeakfnYGN61RD7NlikB7rY1yLNbHLIrPmE0r5AtUwi3TYt1WU
iBnY27dYzbdkDyYsHQLKX4iGNSCibzsp4n2eFitjne4AQtFruyrvybIQ1xZgtZvGZFczN84Dmaoj
iC6XsZj7B2tHMNtmvRy9ueP7vva8VZvRWeKIYY8n0Kk789Zwm8WLhkHBPKXMfQ/vRp6sqq/YMnNb
tOdwOisb+sbUVRiMXaXY7FW6u/YG7mtWrioU7tqB3t547oH9i3wwwuEea0O3KZr8i/TWDxIbG68M
ik94oU6UezhpmiwfngzFepFtvL9ld5zyxnTFI+R+Tq2gQj8LBwdejpcTk+PuRkg6CbajRdR3VGx0
nPo5dHpGbTY2G6Oxj7lMHuh2S8nMc4GMCaNu88xkqTSTBj32rCSg4Hvrd7uZnnCUp8hbS4jjwdHs
y7wR70tuPXgt7H6OJ4j7Tu9SvOawZ8B1OW8SZ1A3bliYu27O5zPtc/rFLh0H6yclWZTklBC00/Tk
K+k/+b6rrtsJZYpDauBM8RvOjk3mxgb1UjNXwLRgSjELPr0EkPM7PXI2FkkbHBtCIEdlhCT4hBHO
u2SgMiu2EHZkTfccKDZollnR3VbUTR58eInXRW99EN9Bs0qI4M0Uk20w98sdjczE96HFpfdTSfkX
9+aaZvak5Ltt2TkfVCB0VNxlCy+RwF631dks5y1W0fqckXK85GDeP0cT2zMtVBQ3ScvcmfQ5Rwzz
at8PQfXaNUFwl0rMIDRe1PI1D9y95SqDQW+uLwKJPFrKxHyixx4Ra3Hkmy8S59GHZXxP5QTmHNGZ
+7J11M2oJWUh+JdgDrBr2cG9KTl000w9MhE2pyAd7A974JG27W6ifKqrbwLRDsTnXHGBqFhsZzhT
fKqm5ZHR2wPmZIjsFvqMPFPMOJ5ZYSH7pG6+HfOhYGYMODLL5CLCIedWbWTkgZQfEOQNfBgxdhKR
17dWyT7VJ27R6b4q8uo2s8r4R1pr1IyqdYf35bu4ndtZdmaWHY7Er9nUaTH/rKQqUMtb/WSPNmvn
OPd7Up2ZTDbQon90hGvOtFdNZz01BGdLz8x53rr0gb5b8Ui+wdpzq2hh3HR4XMgNpy9t1+JbIqV7
lw7NytZfT3ve6PNHSmvhE6gWYlIkXebdxLoIu6SjYagoeeIieS8VgdtL0tuCBh10kpBtEFqXKMxX
FP6yPjYgtbMXAgsraEI2nuJNVJhBftENYOhNbatqp4TXRYs9zpBDoIJ+BnL0dnGx1Gz5URU2qe2Q
bel7OiCTdFGHyayephknMs3UCVAfONf8KMtI1XV5b1OwHbm1D56R5VPnofr9Zz7+V+ZjXJ3if4Xg
PTZKpv9n+wGJJ6v/Nin/+Uv/nJT94Dc2D6bveZ5JbPEf8HeBDYaKdjE8levMu/6TP2dl2/3NMgk5
gqiwmaddn1TXn+5Om/ooUtAubFNPuIy4zr8zK4Ma/vusDJXDNeHf+fyelFHa/9xpoGDN1qyo8ISP
vph2YVqwNMe1ER5Siuz3Xm2xCOKMDe5DPMZAyjOwNRP8noi2PRB5va3EUx5n9os3pMsdjNP6caTH
7j10xHzXapt8rj9p99j2bOixnUE8ysgwRoCEm3mLxdurItAk7EhS+rLsc1AaYFNFQ2IPCdM+KVAz
3a5jvYFetyyT2BaQZudIj3n9NVR4kWB+LM6+MAbnQlJivitSOPJGM+MAMDvDPvXwKjBseC7KjWGn
XDsRv3Es8u6+sYw+hnZikStTlW2fJl65V+GcmfWOtP34ZlZ8URF2KPk7f8r6uXRo0IH1BO9iE7Qd
mE3fK5cdNFn7ao5rr9+yoMK8kwEvPWZk0n2qa6GmZ/zAj27sznde7fI5JmASf2oOK970grhXqw3i
ljFf2YvDofhCW2MBN4A4H+a99DKpuH5qh6C5yKEfF0D4c+JG4K6QqmKgYAO4X9IBW1NQbbvRaRvc
I5Itu85r+UZSXcP0ZNoZyA4nn/170i3tu0h498QlTE8Mjr0pojj0HdZT5dTs/QAGoKtJF7RVeylE
F965A56Pc04I9ohttd2PTReeSy/D4p+m0zmFvbef07EiYefWgJ5Qx+4Nh6clL9JqGy4BiC9B/q6K
e/EUN7CrMrAptItlztWs/OaCKDkaj9qpWMP6uTg5w4R+UxbKYaFmuQOt05Xk7yzg5tTIQpOuujdK
dK2X1lwcexvqDjCSm7jDpzAqwt3YIPHTY2u6n9sExOHihI9WnyX3s62ZMcO5B8VDc9i7Fc/DgPBo
uBbWW2P6CHQB4oPR49y2ts/lbjGh0M9ohMfY76RG3V8sev9iZZytmGTCdkKy2tkQfGApDiBs5VXq
Fu6ENtmqBy7LbnFmTRTetYEh7I3oPe8HdYbOTToYoIK2zEIGV4c8p/Jn64le24cEdnwYbwzS8kSG
sMMV/XFx4Tu+dSNVAIYMp26btnAd+PkYzHGE9VS3SrBBsE96oS3WNmTauDowl9Hh2nVL9oKMD5fG
5V9EGXl8XumDNB7ZDCM7FPGNX1XjdTbK4SXtqlvqdpIzsYQs/JW7Rs4bzLJpxzFOSWX6deSjlP5w
bTMjwLggmWqpd3FPbYJJ3cRG2mZ51elkes4ki3IjJAYy5DCyhlY+5EqwJi1bLKqkSAQzA8/Qs0fb
jXfk42081YkdH5q+1/1GuTYlTHjkWzLNVseSf072hvxeK9d8DUc6J7FUjcpS0YIqfm3g2LlqlInZ
KKwfGh2c5UrryFduRxg082laWR7+TB+es/I9umY+TIZjfIK12nV0pG67WB/mQEAFWfkgSyv922GZ
H+k0TSIivUhuufss+hWZrZTacBUDjwV0BF8hpp2VQ0JNEyTotRV9XCklSJs4CWtKeHK3vjZXmAk3
hFuTtcJb1xfTEWRKiZFoDC75ikFBPMdCuqJRxApJ6VZcyrSCUxxP32ZdsBzKFaqSrniVZQWtAIXG
CEs3BNSvlcPCwvCtiSFALKV/0W2P9QtwC3IIcbNvmMuKdcm/AS8r6sVboS/Z0PwMVwxMvQJhsm80
zAqJqVdcDFfu7gjvJoPHC0wmX7EyWDup2faT9yaDqZEI4A7FiqGxQoU4KZv+Zcq76WiuuBoGZsmD
MUGMAWOjeq88sPxddrKfxNMorPjdLlyj2swxtDwvdyqs/YFlXimvmYqjXTnudd3RKsL2nBBMmxCV
Ik7knILYAINhGP69wqxyyLgfIIOCdJPcPngqPO3fUiEPXQcfI6SdYIXuhH/gdwDx2CuSh3dvesvm
gQrbZl3D6jkrXlu/rPZCjT3SoxXsq0FCndKk8ZHtzBd8h8YOlGK9baZa39Z0YF0vKErHyq6Cezy7
9c2wwoIGqEE+mxcTcY3hOlmhQv03X0h9s4bcFTsEnhACUbLCiMpvLlFhrYwionGaFQAmOleu5u0V
ZmSv2VkN2r1fdw5cYRoUYB+mwMnoqQ/s20ShzijjWbbm8MITV3dRpqb22rT7B28lJs0adpKdF3UU
SL7TquQxgK1kzqTuZpE6R8vq4804OMYVoaP8d3uAy0SEii6t1K70FskdeFO/cpxqf0U65SvdyVs5
T02qRgAxsJ9YAtOzgjXx3MXWuxGqLwpJklfwCXS6rPiowXF/1CtQis8U6OoVMjWuuCm9gqeS3qE2
OH+PIVIFFmgq3XBz1Suuys6W14WrZyRXlJXv9x9dBUdstFF9ISHsegH4Kon9cVPkILpo2cmP4zch
y1phWXrFZpWDtyJjQWnVMLXqRNYUToPZWi9oy4ZrA/StKe0hcQ2i0rfJiudq4XSpPH1aEFMCtA7c
YjZK4Qr18kWuI5d9dsetm8O1cFejgQ0ITDo9WYtvOBj1eB8WvDDD8poI+qb5nq4wMUzs/u+96B/U
KL5ieGNBn3W0RPtv5F2o0nSBks0rniykFfrcmqt6bndvTQLEDKz8icI9oiZp23LFBHUWJCN3+RV/
Zo/tlbsC0XJP/MhWRFrJM0+oAGyawOp4sHJQaq2ZH3p4b6cGypqz4tbECl4rIbCpFcUmVyibtFXz
iMOHUplvZlu84tuoYxt3rgf6fFnhbiCu0MngvcVw38QKgDM7177YKxSugg7XQYmzoMVVKzYuWwFy
7YqSw6XUXCvocn41wdESn7hU4c4pvqStgMR7DLjzbQanddB8oLePK7SOicV/IBmeICZM+Z580nzB
yBDf9bDuSHZETdkfspRi+oV4InkSHtEVkLeksxURq4Y/CT1vRqV8oAdZHQg+ojH4xGEeVKqoeYC8
B5mHv13SIB4D5TM68HxA8Z9lTraSYbMT9QWzZkIMJLwGkfDlZsmxs6jnTQ3zEk/DZa1uL1OcTP3A
Vq2t3vuS6h89zE8TQlAr5IUM4A3TGkxBj8wDBusZwyb3XUp6MD/kfMzdbyiha7P42Mw+rMJ6pRZ6
FUjYFM+ttfjU+hlFpe+svi7+Az//10g1nrCIAP/Pwsg1pYp/D/SJP37JX9KI85vLWM+9ihyOE1oC
eeL/B/q+y38tdA46ecF1oEz8JY9w2fzrigcxHU/R2jNne6z1nX+rBlg4cHb+FnBGwMcVSiTVw7dk
cQ39e36vi2VQ5snsXVervL3FPi5wUwrUftxWg9HKjodfx2raFJXdxLcNxlZ327sm7au0UbCOeCyb
zjSq04DLoSeaQQ7coUc+ZpWxVfbIU+h3+Dxvi9QB0LKv+rFypltpFlmKs8hCCN86g+HJZC8HKnzP
o9MNv4pkuofb5cdbYRn+1kk9f1+ChIeN3CVYB/TyaASaiC1OEXohu5AS0G7DIizXB4sjzDzXsyhd
Pq4mpigMqNlwLLtAdXdQYIrHvovDt6HUdspHsFOrh3LM22uPPqh41yzhK/UWTsMfsXh6NxPQZ57w
fRNWCbfF3ZouuhTUhr11pGoZXpvpPRsdVo2u9PeNWmDG9GlP0mm0sAk3dorDVzYGWDddlVc5Lefv
WMO7V2uwLYpBGkboJgx+lfNyG2BpxehXgHzm3+KbUXn2JXMz8xiSc97J3F7bWnBG8FYLkVDzOiXK
gBMW5wTvpg3qS1ht0EzYhZGZWTZYSccjVsvqTgk1PJODjq9I9EwHrf3lHm14ObER7XDpZygWBCKN
7EhaPfvkeXDv8wJA226k1eWSVnVwmPHzH4dmFmdUsvop1T7aS6Ag3Ws0M7yS5JudQFo3jov3woDn
A1yus+xL4yQrpR6dpCLoSr+QwAcs3WVkAKHWUlig3uEJWPQrx/PeprztWHIbbWhf7/Q7PvF2jx+d
GhCAuFcOee1fZmX5VyllvI/YreJbZXTNuTEShXCtjeUyK+3hE9jPoyOJUWOP++M/ZWE5Y3rDbQ4U
E6Wb1Tc2cAyduj/l7ZBM9amKh6lkCSHjLg/3Vm88cC8LJtopJgL8egfOQJi//rNK+1dWaZxgwf+6
SrvmYFa/iuVvcvMfv+jPMzUQv8HjJogc/rUp+/NEDcLfXFRojlk/9ANWZhx+fy3Rwt8EYWVhmqYN
YUWs3Pb/PmFRszkXXbZ832u5f2eJJlCu//GApczdRPEOsOBSQghQ5J8OWJtm4Z5CneQ0ClbdW/Lf
/v0kEs0zTmlg1vnhaTR/5sZEKKRznGkD8S4EUDnKY4/R9WB3ojuYkpDaH8vb/7FZwv3OZv8D3IIv
jW8JbyLT8tb4tvVPeKh5cBeXAIh35QMwby4hG6ULcQfOeg5JcoyC0Q7zosF8xdAvE7xgRjsO2wql
LP4M6vq/2DuT5biRbcv+SlnNcc3ROnxQkwhEH8GeFKUJjKRE9H2Pr38LzJtlEvNdZWWN3yTN0iQF
AgjA4eecvdfWbxv6lFW9KSeZyS/k8gVXU1gNLQt2gzospMdSb8g7n7dMYTTXS224NdcZ8qlG8yyn
1dw9lSd1DEFDeBX0FGfoyOwAfeNjOPUBPXMNOtVa2Wl15/o4yz1a8PhSCd9RR/Dq+gaIWbwZiRBj
dQ/Zp6vBNW9m3ekeVVFSF9cVAhRW8DRYdRScrxn8jTuoUmjGeoLV43WEw5r8yQTp9bb30ZgdMckg
2AcejqMt7kzrFkYicMBg2Oa1/wS9XNvV0VwfK5R2u64zm7dIhPW1yuzRc+LmpAfFsSyc5kHm0Xij
q3HayaZrT1Rn/XHUes2L5MyKm6rYuaosczrnQbjVYLIxvOr04k6z1Fdh0vXUqLoLb07S8Bn8TClX
orOHixYU2u3cJWqE6jE1myHqx3Mg53vRBel1PaEUH2eFercZHD3YuolmvdYNNbMiAGs1YnshU4nO
jHOHxLq8I+vNpPHmkuXUz5IegFnryYV5VmM+xgHitREIGNlP1YYJp7Gt6AE+TEKQ+ggl5jA6pU3Y
VZZvS9mGyZruVbdumF0vtBnkraZfbuSstBWdTuTgoiwODKCHNXWAc8tVr06IKek2QJA7BrCojgrt
8DHURRp4fi7SZ6hOzUMhmXhWg07PIuk05uxNNF+ZuTGezV7I74EMna3ltxXGVs6+Nvp2Tfuh3hgR
PmKaoD0mf2hD1apMyvAl4bZfmUY9rlvuNDbewXAHAGC4AgbUn2w24ZvUosttVWSUtxoJ2sYQmZxQ
a4LDympSNPFhBuQocUuDIva3A7OpaT1XlvNMm50KcEx5l7qoaG016C9GQGhTFk/Tj4V/fakAsnt4
ius9xQv9wZbR9VfexFDyIBzoB6N34tpDCTthFG8lIdu8gQ1CPe0Gv41RZRLnGs0Ypv+opbw0SOl/
O42vPdhjg9KM7OqWRnWtn1RpFzZ8a7ptvZwpODM9Dc9EtuSnMRy4elbnz2urX0QQfbhNJ8PGvOr6
1ls2WIMDyn+oH+ahzM8qVYrLN1fJhaAWH6Gy8teLSYenK3QraxWw3+ixmUOj8ZieD7cyF5G9k0nh
HJK2flThML/Kfh5JEm+sgwLHjv8PRr5X6lpB30oOX0HSuliBXGjduBHwr3hJVCdqzVsZx2fR1PJb
7kvVeXZVg18vdN3tr2gA0iTWGfOtMnRNkApQmmXniRoMCd7U94cicArbY0KJyCVG83Bto/XA+0im
3HWTWsOtU9P+g0Qe9mxJ8ya9BheHbhFzHAxUeL8aA1kdJVzJsPvKYTk4ZaGiiOv8NHtiI1RBRjXb
grGAYV7AWlVUhS3Bg5Tj4jpy4+JBsoVKPZx5licK/tzhHlU0JKbw2M92fRmMMLyJjCF5RMGZP7gQ
BJmSEqWVlXjiWJ5ZfO0mSd7igNoQEUeEgxZVhnPTRFOqPZMtQUjvWFXqzjAHN9pIGmv8KGXt1FtL
ZOoHbePqOGX68DVwEdL2DCzu9LaHVEdHEIe/hlemK8K9MOJerEj2sU6hItRCDiRS2GYxxytfd8Jb
Bk/Gl6LPojs5jQjYm7oJbizLKpma4HxJ1waooW8FqKRsZUFmtnf1wtClXZO8hKSqAfnVx/7SYp3B
Xq8PNs13fMj4dRnBAp1stcSz+4bDER3cv7O+K6S24bCtpNN8czTFIQIl5rPF2ryNJzM+1IkxbqoB
OT9rw3iIZeI/L4Yk/sNNxzrPQ57AKifMp0D+0C1JCTAODHQMdiXPemBjfJaTEUK/bfTqqMaBQWrP
wPvUAmj7+NmAbCHdpppA72Fykr0uN03ovMWmGLzBtVBqV6P5FOFTOMQUCzd4cnSOmr0ZVaO4EW2i
gkatPMc+S/9sp+dgcv23sYEoKQHSOra20CMyspPpAG/K0oqvJruQO4vCgX8wj8Y1zh9+U9gAw5VN
e35tGJ3hZSFK0w7pKWkEQvsGuqC6rSEEnywbZ/e6Qaf+1bJV/9abaXNKTFviDaWpvexLXlMtKd64
S21ylCYZsXTEsnc3U+iH56bAYUsUgFmfTLcaGfmYoTTXejNLa9NN2mR5Q1YrczvRdC3Q6HbiyYnb
NmewVCWvVitxTtFkNxeFR0D2Cr0TmFVt2mZI3EM5UEu76QyeJeq1dQe4/mvUhMkTWzh+rvBFs+L+
WgPCdDcJ5z4ZfXsXx1lA/WXVcgYqH5qXJhrwxyw1+LWf5NaBLVbxbSr8dtt2WuYVreD3IjOCvF7N
jPNvpl1lfGbUfzfI9tqgsLKWl2idXdyq0c8NyxlPUTPNqF96o1+x78IRnrotagApjeQFZePXRkNQ
b0+6aa2JKSmPMW3mxdPlamisSL8J4Z/4sN21osLLF4r2CoPqdGs5enQ/pr0wsQ3qiKjALmhgQZu7
QJGHxabIvoR2gT+i4BE7R0gp8VwyfFqCbCKTyIMMzwTOgN7zmQ+8DfFYvbqqKhk8zpo6SgvbORtM
26gJxyoU8o+5tVb1UM8HN3YW60zROec2E7O1wmXbASfQZvJaJLSYc6XPNvYJ1pF4XeeWA3FWxfUX
I5aTdtubVmbtOl768CcLtNTIzi1iz4rUOfZxzZuA2Mq82icV19MbBz/0ebVa7L+K1HTvR1AUXlFJ
reH+mpyTWyPwX4XKLHcuca/xpQ6nZGSUILOrGBU2lh9VMS8Z5LcK8fWucAKq6SRKtDd4C9rRhamX
76qmRhmpMW7CqKXPvDIqSccuQvN+AzgzzI7g+NQ1ISPlu8qFxXBCBOJQunEq1jnBAcziOiIdxo5Q
g/bkuJOBAvB/yrr/p7JO0Tz/XaPsXHQQhV5+FUfgul7+1Z91nfsvGlxAfBAFf4gg+KM/pcQWQge5
KB1ckvEMV+eP/qzszH9RyRikCroIjbFx/wS/4gMV5SbiY0NR+Kl/1DszP1V2us4DjsYCqTOVokR3
+mvrLJrqocNYVB9sblzXi2NNvxM4zYHaM4oqqtht4a+B9Ws06T/A+K3xcuY+s5jIPza8/9EYw7Us
BDmXTPSwEfY6MZsu+/UHl5GCJ0PwK5tCkAGshzEBLTkQ2HiBpEJWSp8sAyFamZF5zL3uI1a0UD4Q
HoNdt0L2qAeiHnYtLsI965Bz3+Xd+DeQ2E/NQ66AZVE62lwGril6lV+vAHipmkIVSCRbTbQLpJrs
2LMoPGrtcl58759ukZs/StP/he/wpojytvk//3vhZP9UsH4cj3YlcwWapJhNPhWshoaQN0iS8jBo
oEHHIH1dNIoLtPffyqb/WBxzk3w+kjQNhLqQH2ktmJ/ObEbkNfN2TxGDU/sZLN/sJG1y2QEB3vdG
ai3zSf/uH5+eRHNDv4CbCW7Ycvo/MV9B8TRDxu6TsSbr4UrrAOY0iNhtrxttxsn//GiIj+g2Q0Z3
mPv/erRAuUOUZ3F60MVgJ5e8zubt6CDuvu5S9fD7Yy3qqM/XEzERB5EmEXw4A3492JgEaZglIjpU
4ZgiiA2p5b2qygrPRYywChm/XHeU8+cB2uZ+TqFRbEjDav7xOdtCANOFi00TnkXl16+R6o2cso4d
Y9Ul4H150ZOqG5BPrpwSaczvT/qv95At9GU37JL2Rvjfp85PTaFswsogvVef59vCrRu0TDzBZVgm
4WFqIsStMmcg+jfH/etTYqMo03UKZYeWmPi0LiVBPESBU8aHfKiIxe35NQezWyLFI5B4vz/HT8dC
z8Pnq6WPxs+ri8W38fMta6Fk0vtQRYeIet7Dq4eRvRT1dAqI3Hn8/bGWz/rp6f84lg0U2bLgIlu2
/unHi7OWGoW922Ge5kH3EDBkxzQye937/XE+OUT+OA7DFbUA47ldjV/PCYhQU+OfjACAEurHboZ6
YmVN+Pf83rTvwyjCAznWLUP4mQYS6Uzg8C6//w6f7p3lO6CwZ6HTHZwy4vO9Q3GWRMt89+D3qEow
KFf0G2ZiXH1zyo5F4FLOOub0N+v5xyX8dIkNliDHMV2mQcL99HPC6WN354NuCV3f/FLHTnZEoDhd
lYwZdrVZYgJsEc+BRJ7GQK79oZv6A2CG8TsGlIr4ArwiR4LU/H2wjIT8yOc/c6z9gRP9j6vzf/c9
Fy4mI48lCFh8nloltoljVmraXpjSeWUyatXrvkops4C2DA7zDkow4rw1KdmFD8lF9Ma0JLv6/qFL
CuukWuUfxsg1r5TmNHLr9GERk6CpZL/7/S/517vWFVxNRnY2O5K/DNiEIg0FdlJ0yJRAgJMELtbW
vGnaze+P89cnEWUBPxlViMt/P78bI83gooDnw7oF8VxFC1QZ2IN9YgRj3//+WJ+Xc25PV0hJ/3jh
Irtq6eD//NhPbgNSYIxZzklu8gLX7z0k3N0aqnOCon5BjI/DdNK7UX7VsjzYUdK0f3NhdWEvT+Kv
t6trMr0kqYNNAV/n01slrUvN4Mnw97Ib6ukgP6B0rRrN8hB05XzLFE+82gssPooQqaDVConqjaKk
dldkv9gnQpD8I2iN6QYhO7h0HI1kp1dp20Uo3jLQZmGDRQuy9t2cmv57P3bpkzul8wWHFiFCqqqd
RW8PlAIhw6kHwVau0MgbdyQuOfdOWIp9q7v6OcyhrXuijLQHGDXzLUQFs4PfE/bXWS3alxTX6SsS
Rv/CzJUiGbKA/565ml0e86zCdZDj4drPDSgBWqUhIAhTIqbDnpFYuKorw3oJla+/sbkyHwcsXNiP
AWNoa7ge1nvat9bgZe0IJqTBgX8JTJ5sy2Zp0es+eu1CFu+iCex3Osuusc4zto2UY8IN1kOkAhhw
oWPtBkuwGcrl2Hx3ZWdscuAJX110Te4dxhDuN57+INkmheLw2Me1W9doWDtF08mvMzlYOJhVcJHL
v20odC8BwlhrU0UDWGzJdO9BFeZ04T2TPqFHHK4/Lq/vkE5h5KG4Lc0KFkExyxRihx445tEQWXhJ
ApV1m4qEDjrNH6tVp0+nGkqSXLv6qH1Dt8UdSTonYJM01ec9umCu3WS7JHrVQoQP1hhZXzrSmTRC
KUV+YyYw7HBi8DkDwtaL05ZYZCsZvdZCDfnKR90X7BQka4R4Ni+FODDNRzfva2OFiCc7ZkQ3vKZB
ZqCnKawX2kxo9HhoQN/7UTbf2gONrnWb1OON6KvxOpoYSnrS0qNvqdOyNBHA+qRPwko35nIfZkPh
H90Op856Ct028mYIJAxMMjKoCVXjXpJZO1+CYYLv51N6TasW7/UtTCIGR3PGPqcLG4wkMSdAFzge
AF433GAbAUT7JRwCAsZHl7uXgKwRsQw+xD2Cl/EKw7j24OCS4ncMrOmCoz8+Jm66UTONOmb94zX6
w2rbxnT7g2EuNhWhwGtM+TWA7DA6CLfOTwxPlujJNILU1IiLbubzsauEs8dA6j8ErdwUFv3BysmT
CzxghC6+La+zWe4S1MjrijzBnYhi86vr8tiVuJMFmB3GQGSDCW2caToaxlpngL9VY5GtrRrM5Zqr
ajypqL+OAB0cY11twxALGybE4si8jmmLRgAXWWsQCTNOK03ceg03L/WmHjKAsYR/ohT8WjNzugRZ
dA31y10xER+9fnItOiQGGXVV9Oj4TraZmtI4pXZKxGNir8s2H3aJQtuXzITBhLNwmH8j3IxUeIca
/lWVxkvZaQ2EyYyAMwenl0HP6aAJ97mimY8m0Swh/Ywub7WuNL5lpnWcTVcH8hddhU40QMV0Hvre
PxW5DJ5bVBGb0JrGY5hmLMDWskeCHXjlRKa5KOmqWx0A/VHroYXMs3MG1DW5pDRnsWwUMMkKrvIP
3HzlftILGAi53/tAtgIzPuqFVegrXwvkubNTvlCRWibz8MmYH6GumNtxSH0Il72hTvjyqms2Slbo
DSRUeAk4kEeCDYJHWpbD/VTY7B+KpoQGQFzadEkkJno/Q+BhJa37He1oTZgd1n2axRkHZRd9qQNx
59rDAEMaRK45d91mef/gQIOVFK6jsspumpamoORJSw+MLNkKGEnhr+uJvUgCgYqYY6dZO0JGLEXw
agPL540gAyX3ZUzpgwohAXIz5Vs1C3pdQ09Lty6N7LoR7ZNM58rTGbRdWdXswiJICzf2WtIP4i0z
Tbxv8DW3eZzYN6Ibm60ju+BLGwfDyeyAWkT+cIyHThD5AtvjmxmPjU/emdFE65518pCrOjxivALT
YAwuYvY+48aM2TtQIqTabTrVcpNN9XNe4AETGQZJAnPd99YasS86uW48QFqVX8ZhVvNO2BEYnw6Q
iF907MfysdqXgFCuRq1ybuuUSZVZFCXp15XcU0ErImoge8Cs6uofpeG6mxJQG9ktJpJvS1yUXw8w
KpV+po+cs4XJ5a6TqbpN/QolGoxik+I/Di3aFMj3NZL5oBtA8eNHVfcQWlBAhj5G2FzrrbcRjN+t
BM92ABPSwKeuDM91uAWwOJZwWwN7N0gt3Tp4nzZMMiwSQpviJmgxVWS+Hh/8uDKW+I3IM7N+XfW+
vuuh+iFjyS8O7YO1nynjBuwdnopKmmcVBJity5nkIrvSvcwdil0q0Eimc+O+AJTI1yw01bpvGPKt
XZTJ0Srx7QXqkBspmT6MhoLGD55yMZpXncBnIWafbT+Jvc6qJK2AVGdgSJAJ4j7dpUkuv9rEYz5w
asEJA50Lb9m30sOkqelHSzl+bs2hQ98EhntlloqROvNs3unA5eqlM2lfUbEvIZAoZfxeL46pPpFh
0LflZYiz9KZ07PbabcZxb1YgLNaRAreBTeMwuLm2Qmjgnopq9C9xh2THCvrsdQn8czYJotsvFtbu
rePEybuyswjZt2Qkq3U5vaQ4rZ9kU37L+OhNXRWMD5Q9GwwRUNe+CEYSA4tAox2CcomZdHVU5hUx
qZ5F7O9J9ydSRQum8XYXbZLMeBs0hSy/K6E+oo8gFzgIpgvju+JV6nlPYkjMtEPxDqQBO+8myNHo
Z5P2Rhd98xrXCWs2gQUIJ31VJ0G77i1ZJfZjK7pcNm+Yo8B2Cgse7XsIAXfdRg3YnMBqc8qkVnuv
nDC/jHZpQOe1u0ct8PtX0Jfu16BTECRySKqpN4rZpfFtY8aHpElHJN9rDohn5q0q2AAWJd8Jo6NI
MlDR7gKDjqtlcrkQotlFIXhAaongGHS0aVQ+fvV0NPlW7bi38lhcrAHeHIHovDMYZU3ZOiU+yGF3
iR4a+B1p8jrs6aNeZ2XngQguWM6mObhHm2yQbmgbWODVuEjE6Q5xX9KVB3I1aw9gMsVWJQW/Gy+F
nSnK9ljOUfdWUhst0xE4IlrGVajd6JtvLLcyHSVxCck3yxH11ePeEab/NGEke9GMUns3kH6cfXcK
Hux8hhRV8LGjNapH0sgxd3UwvP2F5s0IQ62ZwD+yMSaP0XcEntvqzjGf4IOAFlhw4D5ccK3LnoQN
KFy42p0E6QOxLp/XyBG3SLScVb3AxXElo+tnc4JeG7uFnoMWc6mx8UMia8dt9ZqkRpivNerkVbew
yydSQJCqGdsOpHk7m2pHLW+tK4YG2wTGxIJMOhpNZq910lhB7ywhvSpY46jTCGLldhbxiD/BBiw/
6+AI+OCw6NydMcHszxbGOtjf8b5yDAAwnRtcyK1910rGDNUMZtzpe+MY0djdgFAi8bWe0r0StAeM
sceaX9aohkEHviYt7mRqfN46bISOVldYm0ZF1TYbWszv7RifE33cJQSLr0hsx+82jQ4yvvF6QJYE
EXx09nZNwIzIegihFRlaHbRWg63gzag3zGjTGFVc2/xoETZvSq2Yd7oTMQWv1DfYRdm2nsDctyW9
AwIODvHQ3EKkeIkcC3AihFzRqat8AeRr1dchm687UnzwpT6SpHZhyaVhtED1nXp+j6vgSVfqDh30
rmQ3vYYr+KJEhIowoUkpW/Wq2wDT5npR+Wm6/YgxkhzqwngdF7B/Sjqh54YGsZl16ykDwk5XokCQ
A8Zq5y1bQgKMj7wAW6MiCAaCBGZzfhtJF3DiDtEJoNkB6tsUfBGI9HD71W5yRL/T49yCI7ykFOjz
pq+iZ/AzzR575tmuHgXMboRBldqExBvIJedADiohg6nvnjWjdjfjgNCqp4Y5w57X9qgKlsd8EkeU
1fLZaUiyibLKcYG5kuUUVQ7t0SFeygmyQMddgZN8I9AoLEEx5O+2va3VW8C1d7bhQMZ0mJ4dtTKl
oQPTqHHFzuiNwTwx/W6aeFUhOLhJDYwZ8CKqhLBwms5EBOHJaw8BlgPF+B0q4oquphW3KxGnKPQb
VJarhP3QXpqdJBQaX3wEwaeIq5WmaJo6zUDJmSjCpjo8RG6Q+O+N7/AAclRGDDYaCCTiLoUUJoiC
sijgtu+8guWFPtMy05iKzv9K2qu28bWKGqMw7FOMf+aq4h335Fb+dNEsqHBGJLG6TJUjrmLNJsC4
XdJjsk6yLA1NbK5zfalO9Gjsf8QzSYGxM+lnoSfQ7oOaQK+E4J4g02hyB5bU7/TGbjdQ66hEmMCK
16IYHPvShv1S8qqWPOHQLpsvAIXZOqSaI3alTjYVe3s+WnNybRMWFOiMZ5HYSV1SXzEh/uakmeFF
Ndu/lRWWN3Y9rxPwEYe8ZNw588o/GEnDi5RoBwhgNk0B1MEXt5P0CJZJzcfx+tLSNhPKkYPvwPCj
ToBEQrbR88dfUSDB74RD2f+RHIhHd95jXQGXl7XUYGNt0CVwzeF6IPHe0yg2mfXMuXOvEi4mgmF7
JcK22n40issUfqsxFq7XJfSN0wxy4SqK8DBpiq+YhUNydOY23zkZftAiajmBKOYTWUdmVHkdwWpR
qj9nMLPZ2idEPQKWqw81NMObZGS/O2shUUxJR9JjOU3tehScl5XRCy9tyr6qD0uiiqa42rFVo7bv
IMfWXp/4Q7KKZroiNC9ZDDqd6kSgBS+s3q4OiS+yjPtfzNpZFUH5QvMv2okkpqPozidV1w2Aj1SR
g8a7AyBUHkAVbJNhsM4pYYFXNoIQeM4zE7LZpnnlzwmEUu47jaywbR/zC5hzS65mnc4AWhsoDz0G
L75fCORGY3hMU4Qy6zbtlmuSdkzZdP6X32oEuEsGlUOTcm3p5Xwxcj3fFUsrrukIIpMTXjcIKS7R
F9G8dSzugNYiEmSl+uUDU8DngaE0fNA9+DpipLxWlq435lI8Z4J/ggKhPsh8+dOi5WrpWKEBfZly
uvR8EMn0tbK9atDEc6jbVuwlbYIrreG+J6KDTEJJn9X7aDzpsHTeZx1jWx/Haoe7mgkjPr4XWom5
6fE67x9bAx220gf/2Id+8eKHGIIntG7knoc8wpbZMZscWv/oQ1R/SWSDKKwaNXM1NX0qUA2kvn5H
ccAZQmSl/eVDdGUHjHYB7HhknKlb6i8kzfIXMpEmx67gMvVNYdwN0OzZafHFjSYJv2dzVr5UbsSh
x67pj2k7+YeWlmu26lyteZknyBqCjlxb8e9UHSUnFt/Xzm6gfOsRpUdbvuXCVbB0sKw1fe0fRcuv
04Jw/VKNPIF+Nyk6FjmBG3XfboLCmS4mLfBLmRFQVw9oWdezM+unNDD065wQoaOdmnzzlsrH9nKW
w50wbZofjEVdKIHcBQOWh7Nd2rQUcGtgfnQR90F47LhL5CxeAxETSOi4WoFGpFT46Wrb9wqqUxSA
rI9AjfNd4ATaA3Hf/rskbhyeebvcg7WYuPOILDgiMsPb7hJ8u9fkEiTqSso+vEr9D9ehToZsrI/P
TRGN38beXZLJ2JDXtFIhhIZsK3gzEl151ps+vwqHtnuIxOB+L3vLf4+gPB57O4SiFgy8maxogPpt
ywmAE6ybQ68q/2vsLBmGMO5r35NAlXsvLaM/Ayv/J+HrbxK+mNJYdL//syPo8hLlP34Rr//xL/4t
cnDw8xB/bTmmwXyA+4/5wb9FDlL/F9psxjGkbJHhu5DU/vQDyX9ZtkujH7InrwxDIH/4t3rdQv5g
L/4ixsiKgQDyh3+AS/s8VGCaQMHM5zCLQr3ufJoHTcoEcDYtCgIfJdfGni7gSn66Gjd/dOt/M9Nn
lofIw7ZBZy6Tb5QUv44SGCEtm0M174mRB3HoLg5Qcu64pP/3mv9/HGU50Z9G6/CXRnCKHEXm3xrt
WzH+aO1/Jk74y4l8Gk8CS7co3TlEN99KcQtwuZpff38Wy0f8PO8g5U0JaTuIWIikND6Prx3kpQQp
uPWesJJq1WsUNVFZ3GZZtbNDeqK/P9pffvyPoym4Hy4EEufzbJfcjRFkpQQsUATsTRgPrKJMjps0
KFPvnx8KlQX4X9tAfv55kCMapxx5mXFioGQfxtiqwJX2+kW00MJ+f6jPk9XlGup0g9meEE8k1aef
SU9sMaUmh8rrvDsnaZvsnToGOTnOUJ+DMdtBC5r+6b3BQTFg6yZKJnwYnw9qRz42tgIP2pRwFQ1a
MCunpnnhAw/9m/P7PL1ezs8wmFwvKgfHcj7NxBJTK+ey1PCaT6Hpr1JfIx+2cuNDYiDZT9O6uikn
nQC8dA4vXTqOf3P85Xn9fI9CplmmyO6yNH16nqfAKkORBMDrM+LQYfYvBrDh8fc/4nISnw9iGtyY
i5yDSaTx6+M86kU7tcqo921b6Ts5hEvUljT9q9QQ836eYLD1HYSvokas//tD/3f3jwm8EoUZa5a+
LP4/ryTKtkY9MMx6j9B2ovViw5uKtQlgpCbSCq4y+/gpxBT++8Pq+JL+ctLI2S1O1uCloOuf9WZN
qpVx0Fc1Gax5/Vag/BhIul7y5QZWHdtP0juMgWyc0o7deSO67QgIdgPmTd9NYz/sorKun4wQbzoA
7Cb26lbeGnbW2x5l6HBW0MlpDNTCM9uxJ4zM9++Rv1J4yYwMtWnpostYxqfG6ZmsFfQJ3ZIUE7fZ
pIXe7zuwxrgSQkERikA20WR4SctyWiUVxAcnqgt6CR2VgEjliQQXh9EwSL5VaE/hBRiPw9YtxUQh
mImEmt2f2iDruFHHNvVwu3TnTmXzI+m4qUfuK3lLsnpzyC1FZkAyhqtVvdcAXd9ZRnMGxd4+jvlk
3Q4YUXca7epNYdYxFQ7ctrTTrW2TsIbKsdThoifZJjatEWTz2N+ZsuVD2Aue5QyDAkSIMTHqaHTC
I7AlFvQFiSzqwls/7oc31WbTbT+bHW0eoMlrSZbKDgAAKQeO/xyWiLg8Ip7nR3QJtukNs/6jrkew
FEzQ23ci2EbI1nHaPikjckMUWK112+NpWcvlAiPgupDtR3OekWwJpcx2cAT4LWwdWpzYAJBD+yC+
wFs2ekK3tpWIj2PtKg6sH22DIHmY2u57PI+P1mz8UCBDv44GnDur06LnNgH9KCZmPqs65EHKB+vH
UgyrVThU8z6uWDFi5vojHYO5feoEn5eNfA8wQckxU3bzFC23fkpg2Clzu5DN+OCDzajxRSFGho1n
xIcgJ0FE1WW9xVBB4IlBaMCKF06wVlBENi4oG2rw1A2ONvO6PX0UDmDMzrqqYmjkmZvsSRvq70ly
7+5bPP+0mVTDjeFG9m0aIO0WqZ8cUbRYOF+KbtMjGrl2SaOB3mLqRBcwxvFALMmrdiB17RAzoSUf
GyspZOIIMFJXUwjhhAmYy0fiPs67ZFwtzv9r0tHjXRgEYqdbtf8KMwUfxmho/pVBKKS/TkKm2YvN
gdQuevzXpGwbJERNzhrsq3Wcyro6V8Cb7mBF9AdHlc6Nr5naDlW+eSP1LDgPlv0E24HSCNvEEpjV
Cwav9B4PVQ2tvetGQH14pf3XFvEBFq4BrIIJxGNXMAl+t+LEfaez3a4brRlONTSh1xCQ1iboKsIp
CY4VGw06CaMgtVwPHzCip8/j95Qxbbxu+jHdhAEyBb3Rpz2kEWPJ9bAeaBvA65lcqFamZus7V+b1
zsYT9Owafo8Lxw5vRVaJfQ+xz/GsbqSil1HPjIYBx5tOTs2xyrrsqjPH4aU2zfySd4G6xqdjPlD/
M07Gy6Rtxgrm12AE040JgmWLX8W9iaM6f5lCe7itp2m8GeOwvRqbyjnrI5U0nFD7lJQ0YPQKaj+M
O+e+xEHitejC9hTXLih/YXCAChAscc+G397WM0yi1Sz8RK5yUhE8pD8Fdr9BvFuR02arMC3C+woX
OJwfp9nrPYtQomXNjlsD3YKj7G05lYRfFUOQeSTiNeR2hfggBCD+dHCwq4RFFT7MFHuw1ntMDjw0
oePFChM7aoKZEIU+eDAIfj5OyVSdGBtCdrB9kB6xkwuSqbJYHVyKhS12AQcxQKAOdqNoj9BGAAe4
2A7DJIJ06pjcEwwI6HApEO1iquvDHw2lEPrPFvW9tgHy7+N/E6la96Rc4+Ir2OAYNEhucjYBr0PV
tixjfXKbwmrchbGY1i2rwLcoUvOm6KXctziBfuB6n7cGgrPTR7tkKCJgQC76qpcmKfRX3GloDVLK
9vdGIY6ZmhHdhk7Cx8dfN3LHBtFLWwTB2BKZZ8ulAYaYmdDElsiQhEqUe3jm6oKrt2CAMZRdDsnY
n6YqDdh+DU6Lst1Ml5560jZf5EhUJGUvf9WqTW1Dct50+ejkgX0y7hgIUfVaYfHUR1m2a1WX72jG
+Zto1gXv6gX1WTHBEONS5xfdC2bg9kA4kZvggIptz/UTsbzeExbPur9SzJtoVIWgOmtdRRcQU/1F
19pArRiUj/uCsR5sf/qQB3w3oCbpOmfHuNFpA8jCgbXPeGzet3nJFxbw3vcqokuoY9V7/hBpRNbS
lP1QctulS3Q6MWJoC0tSQ4mIo70zzjDc9JpeFsYH7aGMHNSc2shP75owEApJB7RLzfD7RzMoWRpV
We3YJx9YL/2JBgVzFeDlqdhv7ihE64MJ+e1pUHgc87yiBUkk/Ma26v9i7zyWI0e2bPsrz3qOawAc
ctCT0BHUmskJjMlkQjscWnx9L2TVfZ0ZjCatetyDe82qrEgQgMPFOXuvTaJ4Q1GRwE5Kx/NiR4AW
LtSEMmrvUOgVBlWTwqcTG1FOvhbVaL0aOeE+UjHAMdOkh4kRTeSIBSPV0uV7whq+R/JRk6IFI4WB
FF6D8AqvmqT172RCB9ex0I3HlZJbrxLOc8NZtFnAHgzOs16yFf9V9AGkNlyTvD7dTJrevXcy0B5y
VwUUb0H6rzzN+fs9pQQN/xx1/tjBEpCLLGVcUgrV7kMwmteYwGgqEoa01mxy2WRbwy4sumGj4ax9
Eu1oPZGiYz0RczNeslI5m6iMtNUYx9qKsiLtgyAoLqZQq24LgAhr2Cr5WkvFcPnrqTc2opyCTLAr
Emo3uiSyza/q5MyukE+UBXAE2WLTKxiIm8Eu9DOX9ulazkS4fGzEWpW5QaVYt/iIQQoeWkpoV4Fn
hHvUPnRcf43lyTMQ+GkW6Q6UGs4mLx4u3VoGazqY4dKw8PQtKPmkV3pJHpJDU+nZD7BmNgGq2oUX
sxjiAOL1T3gViCuYIM1Q+w57X+SgJCjn2ZMxVyRRO6XjcMmkMO5NFcgrt5qmVVzYpLwhdhkfCamy
bUIlIVRP0E+pt6dQ/6BIE+bpJlcijfA3CereFllDZ2iOcEO7PS2FSg1XpVuzdLsRLngXhBl6/il3
0xX0jjllz4j8NWtTt4elhd+I3EF6300mjaV0ZXHfIkLdtEw47IHoBZ9h9m+uSjoGdDycDkMEtVtw
kOpQIh/boPTXRkJ0pXZPWhXFNbyH7JgtARmxowFA+AWfZmOrOUdklmV7XUmzT3UUIA2ZPep0Wda5
oigt/Nj4/ksHZeVoW6y+17+P5KkSyxUXYqFZs1wQwcg6RhhOgxupX5W67sHprXHtNWMF09qkSirG
Do1c7jv4oJoOEd9C1mK60YkKjnCqZZSNA/7h3tLKsFn4FHXP20YDvsx/ep0IvGuLYiqDXW0k1jbW
xbTHhOYQ3RJv5zu6csEZLal7RpewJGF3tXF+Zw5ptUa2IteTijQQaEVDQI89mi+jHL2EtaG8A6WL
TjaNtTOa5dctvv5FgQsan5v27hGktzEs+SxauuBZMgbn3Ea6ykhwYEMX1tXG86p+TS6ouSVnraO4
HzRn6P4qlKGl7q7ZIUb0qG149uBAiRku4Cg6+ZsrtTfK/VcDQJSNOfT5vG8r93gECVSa4nsiuqYl
kUXhjtlqy4PolmjR5SpEwkML3HvWSDvCRY2qBU5dGay8fmb3C3qNutcgr7FhRGWu4n7xo1rsqkyy
p4Et0/sILpQkrzPtQrkmchVRdwGgDTpKEr2EbWfvUkAy02Jsh249eFNxp7DETHhT9RIdnRmdRYmj
rqVM1bMWpnLBqp7jEFT04TsXcaiBQm6VeSrdt904HczYJzc8i9qdFoEcWBHPaF1bXjVdJ6FT3Sn4
02vEP+S8Yg+HqjY5znpwK9IEqgi6lT8lm65MqcbpWXyAPzDSW2vK73415WcGmHZaOpntV6u+CEVP
d5g4vPSslt/Z3hvfBo7jF0TJNfqyMu3ipisT6Dhm0fbXwTQW+2akwZRokL4aDzWUmec68jjMt3gV
K97iCg/mdyuyyn7ZgZi/sowmuZF2U2xa3FDfnIr91QJMnHk5en7zDWyBe0hxKj8Fo0vqfUkgwqM+
r5COkSu6XV60G6Rsz6LYA3aZ180TDnt7NzRlf8jssDvrtTF9a6yZdxUROgXXpgmuO1flP/IamH/n
GNYrfdQCey10hIMB2+UcsifVFaxC9DnIVuOsWwOYIcrHehASDifSHlJFSZCMLgttfE8713s2C1ei
55m8ZRhmE3lpWbJMOth67PEmlsIoR6zRagNopLFiJkuyhOTZLlsox9V5vay2h5FTBQpyMYHc8VZh
raYVdtJ7EKbPg2woaDHLL6jZeivp07JODfVUiYRoa4eWDoIRt8TWzs54W/hOfl+keXHeTJm5ryrE
G+znc6RRuHRT5bXaTtS9lu84Ljna+9hkiMV6mOpG63iPxHpLwinQM3CK6RcmEYoPNEKacxbF7Jqt
YvI6GKJ4SMq0fFatGtyt0nCzLohMilNIA4BoF2nKlsbSGnljCYOwrV/tibRysMS2VZ8coOa9h71H
+57K7vnge/JMsLN9k4oIwZGUjJWjpZdTMccc14IY2wa14ZKGcHGedsQ0opxWDenBXniZsBlaJFaW
1GvPs0u0fg7S1ApiPN//D8jsGK5Z03xYkibIdSK+D35Rt9cpPqqVha/ocahq8jBH8EiGzIObWoni
O2WwFyup+xcEkXdTi5Rz49JyWWl0W7ZJOTGzK00s+dSyO4BdIEuQhla3tp7V+TJwUPBFrb6ZOvLV
UTJauL8LaxuBoTo3U4f+Slq10Idyn7NpYobf6T7VyCWIDraFBnIjHNx7jjqsJ4iTX4Lc1Vcq9J+s
werPdGWYW34LCYlD2dxZsfXDzTwiNClqYWgLuk2XonvjuY3Jhe9P/barXJ4YNHjC3ZMZ7ujzUETg
PrldZN3HXQE/o435YCsSj3vJnmqMHH9ja/a2gWl8zRnkkQk5vSIb2zmUqEsXTd84a5XJ4LXw02mZ
0ROjTCiSS2cI0PDYGqcYs2J3CyWmJE6xl7cSTgY7XI16c97sG2/Mb4JYc67dUg/hnjjmpRF14qcR
kg9QJAASq5agt4DYiitpD9F5BvP2zlKoGhExTySTfEskkIyIHNOc6XbdqTmvrRn0myBoHfIWMBQU
TVpsR5zrdw0z7qIdsMb7fqdvq6y9D1tYqoOrOwcRFuO26auXyJfuLgkjViw2ggcmUg3opt+ds5Vz
D6QahZd1WKbsfwv5syWCkpC2Rn0X6P6/1V7TIgAKEZl/L/Qk0c8M1QZnXh8QE6sht7UIF7wngnIY
l5pv2v5lnFUhWU+yLIeFAKxqb0pJGXnpRRXKmrHK7mUO2C+3R4jZ8WzkoYR1jwL6fRjQF+sQqpCi
iOqgT/2ba3NqsDMzX7Kp4pBUIiaaDDrnEHaNOaNkp6FJO/D92wQjOI85YrqlFRCOwq4wW1HueKvN
GBGHPoJ6Tlhfx74nDtV5dTmCDMl0blf6DXso4h5dykRa6xlvlp/1Z1Zhi7VTijl4kJyRMDB2HeFm
PyNH2NeQ3sybevB/lqT2PoZ8eg+m6VbRyq6LktZ4NQSr2jPchSbtYqv7Qwt0pZQrgG7dwsOP8IVH
6WMV1KTrpLNAU+LGAk/r6/f6q6h9p3Bj6q9umWQHI+8eiGcgWNThdOu7FPI/r7ueaoJgFMZbQyoR
PuOjSnNYlbqBHojL1Y19X5rllhMAsAnCXL5ot3ww1cyVe6hTpsU2nI6LflxZnqa/i9rO1PZv9a8i
/Ri0P8iNgItaZwZ+CfQujjfpr+SMc6Lsqcd9frunqvfC9xzXsQQe1A/dA1c0RC7rFbr80Lqx4YFc
qJA66edXOfVQeYVzDVun8XnsrrXwpLRWTg/mVzukI9EZdTGRmYaVqC/e36kbshAOeJagNIdJ8c/h
kg6thOMEereHobxCO/fieMXL57fz1TWOWkqxDWCOr7XaIaK+mJxqa3n5V463+eUfdzwYfwCQGIq2
+2Fw+InXV2ZT7RQL2EXY6ubBhMW4nLo+fo40Wi1IlPQ5fgJKjUDth4Hvq9bOx0+PCACbOirfn8/5
5ai1Y5GsKLTCJwDJIJKlgay0JN6iPM+0BOWP8uXqnz5Xrud6vs9kihf7+Nsr2Vt5I6afXS4HZiln
vAGO5H4xn3wci4IeOnA46jsmQtmjD9wPjWaq0qzcERwCuErBXMVTcO4mFDQ/v50TV+ImPNsF9IGv
yT0aJn4dQ0IfvWLH1IZqSavPxOjeqyp5/Pw6J16T4Vom6XqgRueO0Z9D3lF5KvzKLXZTrK+r7FXz
siVE51lwdfj8Sh8Jch64ut8uddRs5KDqzM4NrEKdT/VOWuEi790Ge6zfYcnq5PQwQtregu4LqlVp
UeLTYW9+A/WManAym3VCC2hr1pylc4Ivc6rHCL5sL1FQ2AaE5n00XQQZm0GrlAKxKCVjNlfNOjOb
hJzoLhsu+6KljDXi211y1gbYBBn7ixuFqnr8+dHKpLiv8wEYeFeO5mZiizThy5ZnWkfNk59L/dIg
QXR0nPg1n1oiVjJA0wiqvlV43cnnJbU2HZy9gy8otmnPGKWCZN0+5AG7o8aJkPnnt6r3LqaA02Ve
pKDvEYkvypgEtKBKBDrMHpJ/1RFopSVauxyswtrR4OpXTYNHj+skK87x7nlqoWVIyKhfAlqOVn7Y
LwkFHVYWE4zP0zJB4PhTrX93Z2HX5yPgxFgz8fOj4GDNYt0/GmtB3pW0YUeeS0KgV2f4Ys9bH8j5
JpQeC6Lod59f8GPnVwgsypaNgweCx3HnF09C1/UqL3b+DCin6JKvS+Aw545QzTbwwuYc7L1+D70t
/It5/D+ajk98vrS19ZkWiWblg/iiCsdOi1pH4h4cx+fO6Y2XkqLvPUb15P0f3yRdXmYjDjz877iH
TnOETefYyl3eVZRGMXRU1GyIz8JqUu2dOo29ZU2XDbqrSeXu84ufuE/2VSQk6r8IxcfWczcNYSMU
Uu7qAIx+2cv7cPZ6e8lY/eNtgDVPUgYGXngM9jE+hINgHWIczXZYjp7GUfYr0yOrocqE+MfDlO0G
gimEUcgwPvjFFRTFNuzajOZi268mh+qLSK763nY2nD5//NMHaOmCGzMNCwKDfbxshSRXSCsruS07
FzvsvLKgkUBht85E+hXR4uMHyMXY2rA1sOlqHS9fJQ3iyGlz7kyz7iOhPWFP+5EM4h5B4Bd7kPlb
/nMLwqXQ5zjcGnP+Lzf2bxoqEgbjUWp0Y7ElrgUFE7+ws4WbdRPkPNw8mfnVbvT0FeH/IGObP7rj
5cVSrochOd2VRndIffVajMa9qNISta8DTr01z//5q2PjPROxgVrQ8vlz6bShreC+ddOd1raHMet2
lpUS16h/cZmPG0ZLt3GsAzYCMGEeK6s6Tx/imF+96zRzNoQDLlMDK+LnN/NxquQqhs5mA5SD88Gk
j0NmIBPRSHeV4FjLcQ9NafvTlc5NUjZ01bxpKcbii1lyxqF/GCXzxIG+3YbMcIxmICEPB0CEqsq3
8bH3mc9ZXKoUmblPq26SdLLqER7rAsNcGi1Bgypq37q7bYYy3Gc0kzYER95Po13eIsSFLqAUm4N5
W1DOJgS0Mc6DbwJ5wBFof/HXn3wxcwItHQE8Q8cvhr5klFHezHaUqOQ6Gf3koA0UOz5/MR9nWF4M
ukrXB3iF/PFoy5lbJctIWGQ72bgQ0opup6fGvec2X+1aTr0K32FvyzzkcIY9Gs1uJqQqJRPRoATd
7CDaD44+bD6/m1MzkMMWAPwCh3Ke3Z9XmcAWDWGrpSgIcLR0LssUBkA09XX2Hb3+P99Fc2ZEJsqS
MTOSjk+oeN8dqI58omMa/JifXRU7N3kVPH1+V6c+nhmM7CLJ5WBwPIyHmvjYqeDjyWLbu05Hgzp7
YP+g4lpsqtD23voMwg4qlvqLperUnPeL64+C7sShh/qJHgmrS3chcNJGajgowo1KHlUy3fEhfnG1
UwOeY4/JYOdk+UEtCAwBHRnW5Z0KVbrNHdu96U1cmZ8/zA+8FvhHOg/RNVmOBDLno3nVb82htam7
7by21x/jSC825NIiSknISKFA7/YPieEVy7ZouqtylOmlnbliG3kIuyZMbHSXSGo0Sjzm+DNoyrZt
8tXp1jj55F1O2HyZsMyONz5VUOt2n+esNoNFrbApX43GB0AvvHofu95TO1CdcAkiPc+kiB/Tvqv3
gV+8RLR1J2d2X/a5taeK5C+cUVNgcbmPzx/kiW+NxhZbUNcVsAWOF8TM5W+IB7bbxAr9UJNBaJJC
URVkNLHH18+vdeJxkEzIh23PilV23X9+1yb0CR2UP1v7wPihU3BY5bb+Wo8kWbq+nLM0neaLHcaJ
j84wKNuzo2HF+rDF7qpsHKqw4PYS+zmKQ2gctO4pZlbTQuDOfCirvlzRku12//xeocv5c0WKDeLx
TGmRgBBXXl3sOKtd4vGrkOdmN8iSiflOw0fi6cIv9r6n3iSPljIAEHai8+ZH8dtmim8FE6hVFjtN
D8slLF5ak1I0Nz3Qg13ucJD+/A5PrDncIHsowcLGZvHoCyRXz4rigkc7dCESbqvqV3pZlCuBLO5/
cykf97vnsGEE1/XnrSnXiptcckQz/EJeA13Grek2zlncGsYX09epMSr4oGYfwix5PhqjHboYOVEZ
2JH1eA/V4922y3syGqpFHJY3Hqb2f3w4YgLDdGECIkNHfvwBGgMFd7Oe5G4yJ4Q+bn9btdVKUQf4
4kInJma0xboN34htiOnP7/O38aEm3Ho6SZK7LLSfwmHYelN5/8WQEPyOow39H9c4GhO+RjC7ZXEN
VL3GAoKrOoCosW/N1gEik/U1T1HHGtVXCtpYEj4UfQXn1qZh04JwpfjXIomSMe0ei8BaTRgGwAbc
0LFoqgNhy9GN6ZPtLkccWoHS5TavUWhwuh1JVgwDUhA91Nr6gFnRmGlGUG2N28nPUVxIA55GkdfV
Vu8Ia+EANYRXgFvZHRazORwu+FU0uNGWsJdxn2EYvexElF90WtXtvNS/j4u0XvKE001OrahaRKiF
diiUCEfpJ7UO2shGMZj254UlYihHSbv5/PGeGpuW4boG40TMlNI/3yDok7IZHcYmWsHXcmhevUhd
WULbkJKIqRZa+efXO/WFs+dms0f5HmX80fXsaJSlCEe5A90915wuezPd9438YvP60V8wE09R+FPL
pEznH10G4EgkqsEneV1Pb5SKK4RD3luZPtCJuqArvWxt8yWs5BdHJnH6ulRpeaIcro83ZL4Cg6V6
m5pIMU7PEfHrxKFZ2g1qdz1b0zjnjFPOeX1N2pWrjHAKOlySibw0u72N1NdOem0v9FbbGI0llwHq
MAac2mL8oI3lJ99tAyB5P6AHAkkTrvzGcKi9uBPZhcGdmeLj9ya7XOB8tFJchdjzEv4e0A/qHeG3
cZ38glkPWPBwdPHvc9I6o7pJ1i7sgsdS2F+9ilNv3AFAC+WWMoOYs6R+nyNivbZzmXZyB0BspLu0
GHt9mxpN98XIOjUX/Xad441Rp7o8K8Be7Tx7JidTb1gS7bH+fPieWhAdaH30Fei3QSX982b0kqS0
EmzTjqaTtxxny6IOZz6FwB/V4xems5MXo17JmYU0rQ/bXqdiMpKk1CHCcQgTAZwA7WeDDAxBZRN/
8fhOTQQOZX9WCyx7Hza/2TgKJ0FKsauS6gYgmrOElPJEDt17E2PeipwvnqRxaly4nJI4wOKlco/7
NFOtMp4v+7RkyKCJTKZx8Kaq35vU4leF0KKdpUoc38oXt7EeRLsxRNkcAuW98EIv3fiFNT64+ALQ
aAchyKrP3/TJP48JkTIS9Vv/eGLsh6DW0ohtTl+qd+GHj5HZ3WWCZvL/4jqux0mR4+/sm/lzRNWd
NkYKUc6Ok6iimtO8ylHrV0VbfbGQntq2zmhbSizz/7lH36HofWTcCLB2DcLxqEbn1subqrABwxtX
pKPd55n/RaHi1AD+7ZLHG9ZksjKEOnq+IzdoS2zDu29lKFydQ1V0X5w5xKnxO4O4qUWD26aW9Odz
bOZwg2lwc6YZc3xpIvUTJqCzBIXjEfwKUHHmAxAKRCx2XM6CY82Y5VkVyh/QRk+keEVPQQnVqjWR
LWNtwWwQNdVdOPngf2VGCGRQe5vB7b1Hz2bWBGhVo5rQaoK807m0WZg/9d5E0w4PYVD6S1K0l3gS
1Rra/3vsdf0iH0W8bvPRvFMoL1nsTfuL0XTqKfizU5cSB+P2uAGbZaquJSLl3aSmPWHGxqLRrSfM
42fUTJ+aeOy/uOCpVzzbM3AMuhRbjx+7SoxwLNkM7eIS5kCn2opUz5lOIELgOot6FqZ+/sGcuEXW
9dltDIednfvRmcR3Rg/kiMh2UBqtdVQRgS4jdmhjUtRPCZxmEqmi759f85de42gTivbG5KHyiXK0
PRpdoUYGseNl+c7JJ38Z9a1zZ0VGt5RitM+iIsseYbDBPrCQbP3SKXsR+Ie8nQBioSXaaj04vy8e
vXGiiIkqgarPPGu7H86+4WBPKuj4ouspQM8mQmuDKk1s6qCqtzCXxYKRgnzKBoNIQtJypCeD/Nr6
CkUsTsyVsy8cOQbMbBpt5p/fno40wsmbOMe3nIBR+SVujgXoCwSW0j7jdbn7JkGSiM8CSllGEZl4
c/qo8ES66170+mYcA3ATv/jyzaQ/sy2W26hnSGGbSDcoe+wtutz3EUUmU3a3tpwkWiMYtFaVJptd
5JTumiRUl/zYM7NIxV0q5HDFZ4sTZeRDeIq81j9kuvtNBwr2xcH81P3TAcOD7s4d+uPCEeW2JKsb
wf1n6XAHphRBmjPET7GhRZvPR+KpS6G+RGuAG51l42gDQtMJHvm8LAEhjVaq9GZLz6DSgx9l4dPn
1/r13o5H/Vz9FZxeWQaPj/9Sc7K2z2MOBx0wngUxVCOOj8kytoEqOhirmXFmFHpw3Qxmf2maWnhj
NhrcEpGprZLgXH79Qf+Hb/gC38AW0GG5/v8ogdVr8/r/3n8lXFy+5u//+R+X798rnEzUzv76t/sf
//kff//QvyNd7X8JchDmjjQwdNuaf9/fBAdqdTONYa5SU0YGZfrfBAcwDTrKJ45qf2UTMvv/m+Cg
/xNiA1tYpoTfhta8XtD2oZzrYiFmufowjlsNBSCGAfK4fZIuIXQxAaOctcpklOedG1ujyvdxF0Tv
Uash7iJYpb+3vcrZ11MT3GW5FwAc5s+/IBDZuTKr2jkfEmLNII5pamlC2QMHJyptI+HNPVt1nl9W
Hnq8VUe4+wYASnxpDp5YpnaFewHKp7lWbIzACdniElevTcyZXm70jsy5NIW32zCJ3/rSIeMsHsP0
kXzS/mBplYevonLks172AfbTSDMXpVf4txmV4VvkUI94tqY98sNhC+sJZ1FpT7e6kVW3QyjIKCNg
72oKGlJpe0H2tvKn5dCLdBaOD2tkvS4ljrTM7ts4GV5dN0cFVBcoX60Jd1NZqvoapVz0VOZpCy6t
oAYtws7c+JFr3Ll2Gd3ag4NwVbfQtGu6HM6rsDfPiRJ6AHWLMZx6o4tJrRPmUhdquifqMl3qxvA9
Rd2PpY3UuJ2udfF5GcMOnc0J9QucI/TRJe/wIUuT/NLrCWbTmmg6VFgrTbISRLjKOjh3iUw9D9+p
Fl9jkMPmn4VXfZoQ2ZUMIF4jG3+n4/s7vS96IkPAHUgNlGFk5A5TTt6Pd2ND7Hw6QEQDZWpeeRXo
tNEs5QWa3v7cquW4Y2coXhNLFIfEN5o79od4D/NUS9egaZrZOGx6+1xZ7cVklPqmNFxtJYNM3miN
Lu6a0Wq+UcrOfo4msgyzayEAp4OcMyC1SxBrm9DWm2eeFWzicpD+dVl7+bOoYgzoGDRWsjH1NUHm
07bXMeCReDb8KPu6vjIaVZwnaCOXvug43icMHLA3mu+/CZG0ULwro8RLMxFkuOQclLKwyehG1h1u
Z8cnOmWkVwnXqOg2Xh1NC5bfVyKfvDPZdvEWOaG6tCojXLYSw6BmTi2H+XDYEIYIWAD2RnKuKHFR
n1PeTif27j2RYXKtI4NjTIXTVWonRKIldqC9eYXwQHOFNUDAsncy4q9cuz0jb91l/sITA5EcOn2O
0DjRMvs5NnL9CRTdcO6QyQnUt24vYlfZw6JQZXdTaeH0rcwUe1wtU8OZImD83rdS+2rO4as8FW67
zpXXFAiaW7OLzHVqg3FZtB3bacYkyZB2UbbEbjSDTRYVq8+i7qXWL2LPCfYiSYgI9uEHgf+qs4VX
AtBaBEOJNsOpgvyRaURdjzKbdjIs9XWHuWsdw0e8QJ4H9LjtFH2SMvbWVTSWVyR2hVdVZJkrp3TE
Swa3kjgFrRqe6iByw8XgteOd46QCZrHMaBEnRrSz0ZUd2qmT8znA7YNlp2Gf3Ug16ldJQKFxqeFw
yy+11AsfgYmWauE6RaCWVlkGzCQx7ospL35kJFd4i9bJhwsxuRg64tRGKJ+g5XkMu7r21wnl+WAJ
g2ZYidhIaOUkkJA3w1BOeDI9NdyYmW48VQCZ22WoYPWVm8zh7DVc0Hj3hpgXN3MKzA3MujCffXSj
44XrQW9r/S6oR3N0HkI3V80tWvy2m8N4+NoPYCdrbVo2XpIPamV1ZtrfVckQem8WuD6AlxGJmL39
kHdJzw7MU7aWbpAlNMmP0VXKSLeI/6rqr6bP/+0DvtoH0MriOPQ/7wMuXsF4vsoff+wD/vqhv/cB
rj1nUs0CMZ2yMk0ClvR/k5z8f1GFQH+MRGfu9//3PkD4/0LpxQ7Xt+YS3u8kJ+H+i5oCZVaarpbL
qVj8k30BF/99V8Dl2YQw1pFaIaf9APOROnSOPEoBIIWGzdfcWfIcXdf4kBPGiOvJ/gqHNG8zftuG
zBd0yWTg5Mpf/rGzDP45IjnVGXfDQNmLRQ6jr9PH299ewvVfv+93etRcWjm6Cu6cGeZjc0T6cEhu
UOx0pR0NO1ayeNubQ3mTFhWRUK6l1rrWZwujptXF1ke7rXt3ePj88mRBffgDaFeaWJJJU+aej8vh
bTtCvRvdZkcUXsbqgF51k7kRXAQEk+eDGVUH5nFOjZiioJkrYNkzjDqmYlKjtrqD522EiyLwABsQ
NQD10sCf6E19uhnNlP8WK2ieL0WmTd1iUJACwArUsO7w34w/6TCktyLxWO3xJu4iCyBC4Dol5G27
fAYtMG7nFIh4oUJjpPNRcsZZ0Hiddno5GPdo89VlBcn4Hu4J9moBOKZ3avXq5XmsY/rqxp8Ra+Om
k1n3mLUE0dbJIM8DA34JNl3PWPaFKc+jQKcNHo/qG6Fj/GA/xP55DbZvTWWO6bgjnGDV1Uov9jwq
mZNzqfOzAYcwsTXJ4ADK59aAbPCq3o/FCCRvKKIrG5sW7RmftRFLKWY7N65uiqwjOrGbHVtJ48LF
dVAIT2KIaUjk/Yp8ruqQtmZ5A3YzOCDNHbZOaWT7Ernx2hBN95jA030sk8m54+2Ya5SxRFmYcPtb
ZyjfxoJEsdClAhH3cnyA5FN8I+6XN1Ny7to5M2vH7eETikb65w7RyLuyjMafPWbZB73iR0a9qp8c
3FrnwRBaewy8xn0La/wpaXp5PhSFf57nVFpWflJaycLKsfItnHbSYTJlal2rIFv2sjPXkNHTW+VE
WN9Iu4CJUlRvVsA/hilGgWUIJCXcwRDHeWa1JVGifM6e1oxbJ26zfeHxclkqegIOE0CvtYB4ReIl
+WIKhzodDHIAXBjkW80I0tsQKT/M9ai8JDxrDn8Mu/dUJ1RR4rqnh6brTBpG8RIPZfeI7GG68MuO
XyWicatIj14YA3fs95q6DNL5Y2fBvtJCvcPawb04VuIvGj/Klx3ewnzRRbJ7J+Ro3I6xaV2FFm8i
QES+sFjjVzkU4BxOYctzTaGIuplvs3MPEpj7AyRQfJZBcOvoQfmGCG26kH00PpgcqLcA8nEkVyVr
JZHiP/TEMe4Jy+1XJOaBnNV4tnXIe0za+VHPQzSToGlHIq83E6bHEMYzb8JyMJRZBuOfqEr1LQvd
4JDV6bdeq1vyYKr8KvR+wk+GohlruRNRKM/NfVTbL5BHyjmsu30MTcYm/ss03ppYpFeWlb1YgduB
gHcVkUo2g3ImWw4RL8pxtWYTlJa6UuQ8XPlNb1+1Y2Dcy7hW31rbKV5wsDJaXVgZlRkULwJb2VkC
nOVu8OYcBy0Bn+nJvngNIUwi9xejhj3LT1e/bs6L+AjqotZuh1HJZjXEyXRBt7Z+UpTjb8eiMYi2
oLQIut8AOZEl+dLp9XjXFKYLlCAY4i3IBDKeMoctlcWRyJ2zSMpnI8b1Dz7ExURmivKycaA8mE80
YY3U+dYVsm/e4qq1vsXYM9Nw14lJWtgtJk2uEdz37cXI8c4+9KForVsADVj1rWF8MCCELAunjeTC
sAfsA+XkbBiHNuRrmvOESAwNU1MrL9uCuAdswj5nxvS60WvtptCzW81uL61c5RuMpPbNBPt2Ybsg
/Cs7JAoguIR7TXoIvb5daE7RPjfThxoB05r01nbdWuP32CNYxuraH2lk5ntNhm8kTUX7aEIXIo1W
nRfExa4zuxsg5IfNDwPz+TqM6zMczMEG15EBuiP1V8ZYAUly7RAxYxhfWpMFPdlX3bisYAo4iXfQ
UlWu4qyU00L5QblHf4tbSRvAmuvA4vI4pTeZZ9nPUE1EkNBLJIKhtsalb8nbUbrx2sw1/ywB5XNB
q77HvsoHC//BOItH/Gqt74XkpvEiTaPT9zpJDLvchTKgGuGti14zl2o+o3Ry5h3pGBZMLdfPejv2
d21o3HE28Tc0WepzQ/oiW5s8+7da9b2ztClPc44iXj2gANl0O3z9BGoZPbk7AVjtGuC6NPUWL4dv
0C31qUXYgVOuxqB+E0XfbkM7ZM1jAfc22Mq7RWRi8EikU94i0zLwt6f1BvV2RGRsqoGP9YYXj2S2
BSf54UwOs88wS9NvWBYLd+kMzrj14w5cOMo2b0WUFSrTzhLsEAWaEMOEPt/awt3TbzT11cgkwnE7
ZTu+UHxXF1ZWqzPicYDgmLq5RztZr0QU8VXVa/i45UKy+V8QCmAflFMND1MvSMydQSaIUXZ9thKd
VsDzd6ZXlen2Hh7AdK8SVcDmqP3dMNn+Pm+D8TpOxbTqgrY8pJyfl46ZYf100m6R9QQn15awbtya
VnMRzOrDsAKLoCtvU2odWos5eai3xbiyfJE8u04IM0Mf+40VjFi0/U7bkF1fYJjJbzJDYy2HFLeP
Y0E2AQ6KVaiF/iPILWObxYx4RxTR3usGIn37wLoo6ACSgdFrt2RGeZdGOY2HOeszI+zIB3pUOlX+
boXlJTZE99wf8L8trb6H3J+hH0esG6UXqp6MvUJ1US7jyKnOsikQ39rEHa2Fa/fYdMyeOOqIao+3
TIxEf1fYirOVhT55WOnJf7F3XstxI1u6fiJ0wCXMbXlWUXSSKJI3CEpqwieQsAk8/flQvfcZiewg
o3tuJyZipvf0llAwmbnWv35jDhezUuG6Lo1m31uFeByLPiX3KE+zS7eL2x+lk3kkCbXuABPHkoR4
PyIMNrGQzFv09JWEjWpome/8RAzfq8yq1l0xLnVBrW7R3xb0o4OstgFR5idDL/odbAoyn8+vTC7Q
0TWXoWordw0oQhc8ViLFrSCI2nWGBcr1ZEfpYU5k/d2usTgmKmbKl3eDf+9SImWZwzm0hE1lopWX
oU0mUiDr7mdAFkxNkwiUvjPzlgMHFdD0Ap6Oa/RkRHc17APWAClal35k1tEmFotrcJKWZG3U4nrG
i+bOqOqa202dZNcD3+E3ACNkXVLkJRvX0/V3XfewXBJIlziAcDojjyL9/Vx8qdS2vuAc0f6scfML
NrZIuD+rXKZKeprsLWWo91mT5dziw6EULjeDS8+c2MUFA3x5WWADc3DNlkixamQzbrI4W5U16Reb
RLQc7mFZGXcyDvv71HbiawC/fCOFV1/F8/lXhOrBIXA+XUVKLZsy+VQvHUaCZCP5lCehUtYN26D8
6dQeaLhBLCGnNlFtXsxGtCobfs5iQLNPLKO/T1K8qVeWMgK5Nstm2selN53MgTgw+u1xEy/i8Ipi
6xG9Sblup6X8RUX86He6wJuIW2DAAwG71NMLgsN0r+eoIt0sDfGtH7G3mkRkknlUOwUumqG6/aCJ
eDNugssMBZemkfGDs5B3aDJ+IXuJ3kBSMSFS1Sjw1+Sw19lWleG0qybNV5GijAkTx38hxHA44FwW
7wzLfkYk9w2DJAeyD8eUIcZ406OM+jQ0tvsIBiM/pbOTn0yzdJ5suPYaKW8thxNGIgEO9la+IRMb
oy383/clr/AQhzjemVaCcl+X1AlFGV5ycOP+r53pBH9wJFkY/Uy1vFkbB8G7IW68z4bwJ7LqYhNn
U+m6xspp+baxJqXeGCvSbHs+HAzKqZVoUqgH45z/0kykslw1mIJhNLDUSFrO6laim+Fd4nWwcTFJ
ewixt1+5ZspQECv9ra2j+iqH4niZ9aQSDKTX4U2QDPcx2Zio3IRdPDUO0XvHrph9Qs2jMeYhpeQq
GboFBxZxnpjrvnaiAhMNcEJ8Y3BXNFp3ww1J+76KcM1rlYNfi+/NRXxBOH26iebl/xFRSEUbE7jZ
W0cphPsBXnJgn2CYtFg4OBr4aaSWaswkk0T+JNxxLMNqq/n4MaLTlFC+xoPMmCiuaGNMVOUUgG3g
tt9M/F/WGH2INcgoFkVlWKOZwHkENwG3/j5lfb5r0i5d4DVUlPk4H/BkpJBLpNffd2nx5DfU7eTC
1Y/BWDjpppmWuKrl2YWLn8Rxnnn4LHbjDnMN58Jiwd7mYKf7CD69XAeiKy46woqeNeFtz+5kcSbb
hW2vpOZ9Ol3Q3NABBJeTMnHQGWm2vEK23yThct9IeHcuTN1VT91SU8skLNYJMVXj2p0LTUhHMfY7
a47LC+ywqBal76w4s/zb0mn6e9MiERBL++pZtA1xAS6VbW3RtWwaObPyuspqv9kZjbwC9rwi7QI/
jMjV1XMXSQbiQUdFGrkurgaVmFkjLQlBFk40/MvOnNWPSmqeSjmTwUdVvhKpC3bJZPOoaiYGHEUs
dR0uW1dS4qonJgYDJEaoB6QowaU10t7i2BhexlbdHNPJl5dezIOD8zHtpWmLdRXI4R4qCm3VOKX7
YOm8YYrUV2VOX+6ntCeQQuaXgFU6b9Ngrh9zr7wZtF9/J76DNscUMQHfLp5CYwJDyOUvlcZSsCy/
Wrsh4EEAgbdZV/AuLidnJLh5WaqaTpaDJB83hP/UTwKUdodzUIanCpyJLVg2HenSNKTapHFKtKtu
TdnwZqqMI+C8B9YyllgFx/Z0yhlZkaHUjPTTDj4hAFrcXeFPpznGZU8PoBrnzxC7ZjbwWGIBqXtj
+uTGdJpOO6nbc6ctHT4ftMDF2sPKi3g9ug/cu9JD4XKQFfBMLvvIgyC3tGVGbPAYkMX4a4AeHv0C
oMwpVoZ5TSM+JslLExAVN7Pc5FpPMYfAuHioBjGogVnr/E7VUFDJ9sjDxfNSoCTAs06BeB8wGOMV
x6NZkKrIHcGbsmmeZ5YgpDagj4iYTlpqk8y+nhydMOMTxE3QGrcS0841ltD4gOb4GHLQmA2AA6QW
Zu4gMbioqYfZcQEoRDeqH3hWk2xpdtNXBi30y3ZTXBhLU4uimG2NTopgkaVDXhJmVkGLp+aaERp/
U2nTZKuZLc6xuPy5b/axDfykczAzWSUuuYDGn6Y5L2WKb/D6ipJDSrUQXP/6NEmk2tUuLbmsrGgZ
gsnLurLzDRLB4DLoWvVQWWAXpMeAZSCfkJcjkr7rwaXCXcdmx+Zu2O1PNMPVk46bYNOYKrwcffbZ
akx4hIkg4dfEzBVvlby30CuXtNAeZVFHRMXl8j0rRhNLL1y1xM4WIEFh6lNr5A1/POzUdEqhM35J
FrRxVNlyClAYP1kBn4Q79+3PXpFjkVhRfO2T37qzmuX7wUEKSyjwn8LjdqIFdTiXFUEIMoXlVn5X
jgPdO6l+Gw867pfz2WB1QG99ECfXPls+/T7g1WAI99qPDcFRMYbBpQp5wmrK7S9jQ1xDWGI26ZHW
e+HShqwTL7O+1B4mcWnPiwwB5i6mwpSXmP3KS2FTPJTLO0iolx5bSOf1rpkriqLRYjcjdu1+GilP
aoZ0l2ZV2F9IwmWzZR97wCKwfkTCSMoJBI/1GYoZOsCiAJ+9YyyTkbAPgIyW3aReU17muyU3eKcq
jb98R5FZLkOqznFAn6qCRTGZQ/VU2AbA4AhW56QRJVpHweLgvr2xAfW2HPZ8POdtVvs8DTp2YlIr
N/5GNzURvWeXSx1HYuxRN46+aWiWv9Y+1ZIxj7SKQzvwME22t2RgHeUkun0zvaGmtnb41gwzutMj
OAUDwjK9kK5Qx7EuAG+WrRLBrL1tcie/xk4ZB2YvFaANmKw6KuR8SGhVWZMNqCCiuCUkzkLpqfz+
T3+J/uz46QRU5izclEHXEr5Sf8ezj5JDtXNxkUkWWVqnyTVOq0/DIHhq5EM7F3aQsFSGnGfQFSZV
6DCqB6qSzF31min5CsumkLqlF+kVsSxssqOinKiqyFmH0zBthp4XPjFl/pTbQJnn/3hemFOZccQY
RCb+ECNnKkM490LOnb7BHnjalUmWkg5VsaBTVx1jX7DJwPWIrxG1QnGbRTp/qr2ZSnj0J5y685fe
nSuPoCoahzNA55PE52I1fDcuVcCkFaUwGZ/9ngaOOx7JO84w+AncR2K3ks28IOAdjey2F6SVrHIi
zY5d1H3EM7de0x0XPiVSasTwWCFAX1hGDb9Uq33lVCWJJN3BTQGH17jViGvf6+xt3OFVOrlsbUlI
8d3Fpr7xYxT6WSswpqM4iCNJ7yIddWydYTrJsVYPfe+617gI669sCfPu/dr6Db1s+bGLbQ/yEIR8
b5z3Ifrk/mA47cFIl8DSlrylqaYXM60suTZ6GhPQCgpRa6ApwlyW0gooY8nMrJ6zGmj1/LLf/1Fn
6t7vUwtHQMuFCgwt2H1DP46xmbLDNG4PZemQG4i8ZfFQ6tXlPBrDvmn6ZEP3Pm8nOEkUOj0gW1bz
dv1k6eQQB95lIx8V7hvsBpGoftZp4d8GXow5Vodxd2Q0lVqpTnwo5Pu7ccdfb99HSgRY8vu7b2wC
B+PY6A6xYatjBOt0Qe6pHlWmGpyEl0mEo4LNwJ741E6cInKU9IV9J/4ze/m/UeWHo0rhouR5b1TZ
ts8/kp7cv679fV55/pP/TZ4J/4Dm6cH2FKBdlvlr8ozzh8CYCeFfwFjNFQ6fwX+jZ+zzVBIrIjJm
XEQF7A7/JS5Zf9jOwqfny/A4DRmA/m+iZ7gCrD/oqNQn/LpXX1roTDgI1kZ9CNLiJaHl3GPBF8FQ
QJH0y9O5eTtDfEv8s3wbLSOyTwZeb4Q6hcS3ZmmbDoGN0yyWl0+1rPRqjJL+A1HX312JayAwRfaH
odjy73/ZOePOiOamJmC5G/OeRCvzuh3KDInKfP+Pb4nVibvWwpk0udbvFxqgD4ZVM5PkzLmSF/kL
HKGXjP/7by4jAiQovPE37wgbG+xwhK7ZcMZwGwYMF8kvLNa5Tv/Fo+NbhSiJUQgj9Nf6xbg2SxcX
2JqYoLK5hFxBGVzZ9CIy++CmPJ7Nr5tzECCgYn6ADMUh8ei1EMUfSEXvwrE+JCNRd14/3U2xvsdA
+L4eCGF7/wm+PkvPF3NQ5+Mow+n02gKFpMyKtVnVB6BGQD5KmkNGuOKqMtJnMwCtSnE4X1kT/v7v
X/hvPkXkmYsn2pl1/Xp5eU0FKgN6eeBcqT73uBCuRIgnOFZezgfr6zUT4HyPnHfsClAhWdW/f4xz
n/UTPj01phqElxBsPW0z24w+/4sb+uUqy8n1y9paGBaDwVDvAD0Lr/pG3w/lKI+y+XeP7pcrvdqZ
xrxMKgbifCBFP208nT3PFb3ox8vrrSMg1Qs5oXCU8JFhUPEKF4x7Jp4uxf+hQ32JJ2dbrUiNjdej
4z4ogjdxsakZfoDM7gTJgmuMkD6wkIA6+mY54AsQwJIN/dDF4WlZLr881yoqRVBWdQlT2a42tTkY
+WqqKXNnt5y2IZP/jRU21o5UBnEwG11tssIJKetdeYSagTB2pBUn5QN3tYZZ4I8zku1D4rpYAsF2
vZ+/TLj3XcSzNXyqfYLRyepuvZUdUsNUNf+VKYnKLYiXzYQee2Bfq/J2akL7W+7b1YWIsuhpKKnV
x1KLQ+STLlJN5ASOGUsq9zVBI+3UM2OnqKMyUbRZXYe9R58XcguBXn7GWds9Yv87/lARB43Vefx2
PIpvp8ytTgSyDxl0rCCptpNbmN8zfM0xLeD3GFC7n8uIm84J595VYVxfM0usNh1+WUhknCjKVlZf
hBokvSOoGOfznTIZyGUKUN9oamNdmtzdXLJ3lvhyroHobTgc7G9JnGJJjQ8tlufa2iG8qYjARmx6
dEs6KkTx1ckyCUQOIJTBBiuNNZQx+1ucDOKkYyt7ioOquPdGwFXVOvWj8kr7W8S9Q5YbgQnr0u1n
ftMQ4aXj12G3dpyJ7UZ7LtCOAaxx344EP9B/lreEQHZPEY8Gw2tVX3t99mJavNMe49dvZZC+6HaM
PnfeXF2My+6ctG11moplzNHQefH5hmGRkO3h6Tu89dwLDpVuDTsl3Q9x4ayoRNIlrKOXJCZiQbhy
e0alsVOHRMbG8sUjVOjKInxn7/UFskvbGBkYnFde0RK1QrZHcJl4PLI85SGg7yUnxiXluFR1/CWY
8UEmIirNn0Jc2YlIHgllF0kGywD/9RlL/sYr9imDyvqTBcQabrwkGh6SqDbCLTPTNsCxLU/nlQd4
dkmW1/wtwPH0CwOm8sX2k+rIPU5bjJ6jFTQsdXCJpL2vWNxfHGLhsjXmq8TlNjB0cpwhkgHPbA2+
3mDNgvrU5hV0kc4F4TJ1XK2wEjfwPfDC+1Y1LDuXQNX14HLKztjN0/jXizExFrnJPR4h8bDvA5k9
h4ikdqFkHeHJB60oDYeCMM1I00KGw8PczPkeE8cOEbXR2Okuqx0xQ7gMmGo2bTzC79S59R1Lnvan
PbO2XIPZ46YYRft18Lv6Mc4IJPWngm0cTFigRzGcI3y4lDnkmBprK+dNiCTOn1Rsy6OOMFVnfGav
SYl+oRcPoQ55zpEfQowxjtYbY2ppzRMYFFeETjCnjovFgZw31Ducvj3W0eskoI0gvC/6nA0NtuRJ
rZM/ZR2Kg8w9oGUvIXjZtfqHup2GPepqvPzDng9hHgOJ529K9jEEYQUhed1axZ5EgT+7vvE3Sas/
w/WE4TB875MpPZYw0Ld9RGg2p7F/m/QsSubdeguaNnwauibcxjnrHFuMaGXXfv4tIEf2hOntrpyB
quJZ1926HPM2h1SfpSunK/io2RX1TVLAa5F9Fl471LVMCln1eV+AMAx1xMiEpKm5YXcjHHzYW8vR
X7vct11mz2lrBNcBnhjPhSavwhk6C/nbCLDmRs5R93xR+B5GT30Ie8MspmozIMrfinZmGZWBCvGR
6XGUNRpSn+OWPSch3urW8hrFbKV4FoKNsmnYP0jm8G/nlOASu2mmTeQrcGHh9MEtwQMNQDihaoTW
8Rn2YaP2hVn2cGkzNjG7rzbeyKUbMGpY9EEH08AafySonqH1SuzPWwzbsWnbNmlx7dSYxiejE/AS
yvq6VUtpX9nVqbBqPiZAmJ7MWctFis3TSaMQWM0DczzvuvDkHrs8sP40R3arYflGhDlbV3nUpVeZ
0PFumJANkzSxBGIbnSANS+xa4NQ1Vtn2WjgzO2JX6fUwe9VXGE3h9exHcqNNv1lz4I6YY3Xs3IXZ
NNhMefIL1N6IzFYpj9Hcl7dtz95jxOweY8iiz4eSZx5W/c7JUIjHckivnMg2v4dW351AHSmJq/46
yNvi0HrmsM8SdJJlGBufuia9dlJneDCyrL2edNJ9irL5G5EOIwwamHDBhAufO1viMIfpzGRFldfE
+0U3Rf7oKyICmAG/VPFiodulX1nP981gxgdivYnCjku1hoaP78AEDYNjMd6zuX83RNWvbJ9Db1H6
XRhpUtxjzi+PjWTHMcsAzpRpkf8880rrvzZZUlrQH/IOdrR/4yr3yDrj3JZr7HV1f0Bw6TZ75j4r
m6nEuOraMJOMfQo2s4w+U/GJZGG5hiCYX8hRmSH5C/5i5EBE32Ya1NysitpJS2axqjNhiIxqycSx
v7alXR5H5ZTHyu/MmlELjAmnaPtNbyH4LECENSZGp2m0ybXm8Cka9r8S0vidYrCDz0meEXfhpkOZ
HMcMtQAxSGU0BEeYPZVcRV7v+M6adgB13WrGOfWlnbKEkKMhL/+sBVwfK439C804B77jFDYLaClM
sHfNvj4Fi3aL6KSuu5EefPYmcwkmYagXZygUk8YFEemtgcGz1T4FuZlDatLF5zFzNJRGywNzpb6H
b1H703CURZZvCPv+7gb9oc4yOAyTw2BDoHezPdYXG8dwK0RmfLIcacCH80vcoV172rNObWdVZQys
+yLoDrbChUur6DlPRE5IoJ0TB8VglQwhgsE7W1/1nNGMyWIi/6Rr98Y6LJz5iuUa/4gLH9JJbrUG
0xgdUt0axkWqhRns/Lhkf3M9tm83pjqhYXPH1YiVuNjU3PAhZzjI2HISwwds37dyyKUgJihUIJvC
2O51F1jj90liZp8fkrJ0j/3Qli+Vgyf+auzG1ixJpKa0KkjqRrqXWd0Vsgy6pxzjjdqirIK398zB
JY+BDUY12bQ6bVrDRy2mXpxcsjkuZZM1jDIQBnSDYlDSga8d4sUJ0yErrtq6fhl9xh/ZfXY8NJWr
kP+1DwzLv4Wsx3YbTRr3kjTNns57oJTESK7HObc/1KgubcZvfSoMawjiphkK4E28Jn8vzNuZgLm+
NYsDgDV7rz0On3AwJuA+aKiZSJNLrya0/jAQZ2qsPCR+kc1PnDqnhCxkhR/1zdDl3/4eABsMgbGj
fGNq6MeEuGEDVhya0kKrxWgh53wZ/fRZFv1dNHHkv9/xvWnU+RhwieJKFr0J0s1XD8AdRBkzYTgM
KLWuJXlnHNaUJlIm1clwyTN5/3pvfRWWC/piEWXjh/XGJUo2FHuul+OnFxAzt2LHrDZpKwdCMPmw
Oqyxt3nLt+aJYLw5H8EjSU/ePrFHawf90liT0SmeCe4Z9rqlxnn/973ps3GPR34F4ZUVwnN59Tww
mxk91O/pIaTf3gsjrk61O360Bt8gFlwFoAKHWIyf8WJ51Q/2aT9EnqzSg+dSuXo4/2Hv6HVrBTRM
sEtOCtKUUbkziR0e3r9Be0EKfv/kqQ+AzoPFqeutg/Zk5e7QFCP+Fe0YR4yS4UgZURQ+lT11aVuN
YroODRHeS3e6z8NJvRi1GLfdNJB42VUySZfNrulWqugDh3lFTS3n5s2B4hdSApSxnyqyou7CiLD+
+gtx+T+8+iO82rKWEdE7eHX6Ay+3Z/kbVP3XH/oPVB3YfyDuYJEjnUFdLzzn/0trQvMPF61A+Kv6
9r9QdfAHXmeIMzxIVSZAMr/if6BqEhtxYF2gSxYNytx/AFW/dg4E2SLZ2YX7hpjbxfPs1ZpQ2oDw
W7TWSTKA79R6iMtUHxpBlw4JSGIxUyUTeT5Zbhkj9SZ+r5CukhoyQViLZ2IzpW3BRMUNkajVzJux
WsZC2M1Osa0MQj8jydpSskVH8suTvnmLfS+/7JcVZbMhg0MvfhZsHIJt4/c9NGj7scC6pDlBRtJ3
ViKNtaBGupwG32QgOtGWvn9BToI3l8T1eTkkwPU93uYrbNpIC8IH+yo+eV54WXU+qWbFwFG/x4sM
OSFpwYY6WI0JvxEzPKXXvTv47iH02Hh2IiYH6iLy0c+s5gGv6hUpu4AYdodgN5ApHPRK9nRbC8+g
sK1u3ruRrE5Zu3hoA6hwZFt51Hgr1ahyXgvyIZitj5JnbXiDvitmKgPbmsVzJ+uqXWUq4FIhWEC8
bfxoqfgFYd4rIhqBBDzeCJVt1/b9Dleb6dPkoWBpkJkoQDr2+sbh7J3wF8TAuyOJsAkAEdZ+jFh1
C+lojLcgKvrGTNwCgnsS218saDXzKvVb7o0UJPVoJGSgxt7Iz9B2Gmjide360R5GYnu8ylbJtU5K
flE4CeeCUzbRXxskUZhaKYOZpp0lVotxAxOJK+zOfGPn+ZNXP9iQGJJj17R8f3FbzGBZJNDczY2E
qOAUtv5WI6s2nhy748mlLbb2kJ4rXV00NfKg9UBowkxSEkxECveBf1v3JERvyQyloNKzgvxmkKKT
LKQx4LyKpES4qXC20yWNQDxnbOH3/UTDMfQNfxwuDt2Mws0Vgyn+arNVPKR0cnkLnsuo6yFBFVMf
3Nksyy3P0enXInV4LKlRACJowejz8zRXvNZhCZQ4YTBTJMd5eSX+8nBC8q14f8RDnUJlAGykRWf4
a0Kexk9JTFSfEZiQzEGn9GFhhAbQzVILJ9tmYhEWyBmo7j1/9DfVYBdbtBwIsYWyFi6znr4wAu+u
OH1ojMqMwEJm/D1ijKwTn6Yp9u6NwbeuxqEubkihjJ9tkIkDwLEbrFNb+s8yzodvtWNmGqIcn2wy
Mj4fxqEL1km2FNQlKcfT0daegMdY+eG9gcdcd2uns+FtBLr+eTU0Po93TEuvuTY7LXAsEbGBALrs
lWORYucGyezQsruG/QO4lHeXOhQJL1M29fUj/1hmL7Ue9V1amuALHi4f6yrmG2nhjaCArkLrC7o0
Xk+RG8pbGdHIu4WMWIBhklj9yJNhcflEKM/7vK7GaNeaRt0+tJHQdwFbfLM1Zp8HnNq17e1z+Bcn
gfqiRmDc0mwPGYBhFtn6huGFOvTEzOlLh0DmmCzVnquAUGUzXrwtuBzSQp6LHy6k4J6MzZNMcrv5
ks+zYdyT+T2ry85ujOZm0vDadwX18Ph1Rvgefk1ds8zvoiGDdAvFXIFEOs7FPCw1/TyVPEsaOp6l
Nke6gDCMeRDMoJpDVATo/Fx2FaIMFdLE9flDzrXBiyMKlnXsDcui6BoINyvsBthDpVvZX9LeQLXF
9CnxHnQR9DZKZsb1kNisvPrhO6N1lXgBQH9QlFzTyONMkzcaN9lTYzUQWVcEb3Y/nSjo8m8NO4RF
cng0i+a6KqVE0q9jIwq3fkE66dbOcWZawTjOjq3yeedd0VhXWTc7+lvQRyr/U/jStgGAJhUTHWoO
tn1dcv7MCjYMXNSLSNoBib1V5ZnmRWI7NOhY+QOuG7hCIgOb4UWlcXAlMW95EEMfLbGmn33sRce1
VVb9V4R8xhZKRbLhw2jXTh8nF04RRmj0yCJblSm+TZZjTcTP+6U4ALt4ixtjpowUDJveZufSfcuM
IcAUSTaZ6qKuA/O+FbW9dkrzyQBnWXUSUlM+SYJAk1EHBzIA4+9FG/l/LhYQyHQaeU3m1WU/Nmra
5kWjbwmQip+EM8htySG1oexz7hi6ySfLTcqdLU2wHoLkxcrs/OYmjAle9eucZpHg8uJTWsfFVztr
/VWIvn43Gx3996CxuSSplOzGsb4eirm8FMAL2x4G5C3bev2UhX3yeXCLm9E3dbZvFIl0aiI4zKTu
3A9plX6OW6/4iodwG++aTiIa4ADbFLmaj4UR5js0qOlqIJBhIUgCnRC2XX3h0KkfpCjrZJPNrdwF
qVl9SzxvebQEh60Imurl2vN7fVV72lnFwCDkZvrtS9r4zaaAfHOwF4tpotrtK0I8fXeTmEISfThR
Dmzaxh5AQ8tqHxRqWqZcTnWxpIti3GDdZlFV703cgTYEodUPEP2AftC0eReSdnjYTqXfX6nOjT6H
deLtjXbOd8LAPIxEkznAmsjzroykUyc27OmAJ990MRpWiL9WPm6ntiHUE1r2WvVTBo+z9b4M6TD/
NM0iO4VBOJ8a2YTFByPZV30sJRHmyvzPual0aPZ+L4lUVToBofeQ4LoaLAMvi7U5OhxCeBbgQwXP
7hSxyg/v10WvmrfzVRfjIaTZeIJg/f37Vd1oTvxkFOFRQW17RLHIxlB3NjXG+9d5Nc47Xwf2Fkbt
VHsL6+H36wxJ5fVtGEdHF5CaPdVs2LMXdrTQERvGP7/YMvLlcVowQ167HFmsYSOmCDwGBZBxtbBY
z/wAI+3D7fuXelvI0pRDsKYWN7Hsej1IV3Ho1yRiEwXoTdbV2cJD4MsHDNdVp3YxjvvH17OEh0E7
iZ0eUu5XQ20rqFi2RSmOs06i+7+OIJmYnBhCLiONNiXb7IPH+ar15t1xc4vHIHp3Xt7rYn0qY7cL
m849wj2muvJhBKeUJfSqUPSBNMHk+FNroxz4ZxNAWf/jj5QpnOA5m7gp2sJ8ddOVdJWpC9QVfZ8u
iWoQLLU1fhQh8XYpcBXsvkIyCwTuAa8WYBHZo4zS1jvGUHgPUwpp1g8+tNf7u6vQUAbEzgBnvJmt
e51jKyw1vOOZeeGljG8gQv+Lz0RgrY8DAt3OYofw+3LLF68PYo7F0Y6gdWPKxkcxTBgR4D7DFKer
9TB/0NK93b/Y09nDuC1Msbns75eUGDtNY+G5R6OKvAcLCjSz0YFSpMfEdSthntsrr535RN5fEW93
FrzToMyQr4Ohz5sVQSRHas41qdd5z+qOKvbJzoMwM2dw/d+/1N/cIh8H1CZqcDwDX2+WPspaLlXa
8JQXZmxpVae5ZTxZuAv6vHRwevlq3r/o390ftqkBxDYBHcN5tUMPqCecJPSsY+FBY5EllIXCDJI9
jc6HK/2Mov3el4egE4t719ke7M1KW2aeJvsJo9IWanNmlQIjbt8s7nDTaq4qBP1MLibKZD1S1zF4
m9qrQaHg3DG/cmkuKqaFaF1+4rvlUHXOkuF7kHv1RwkSbzde5E2Ov/ClYDBZr6lmMhVjimyRL7wE
M12nEWT4TBucl4R/8KllIWX9+2/Cert2l/QP6kqgSHhurzkpcQFeEnHGHY3AoNbFaoz+gZRM1JWN
xZGZ1NHyvWepdaX6Qj1CCJ8t7H1CfadaWxXE6Paz2lElwZhG55T848MBNBrmJDw1h13yjGP+wpkx
FZ4ZQ8CqL+eAotsU2ZMVMyknAEqmMMzNj2CcN98mpMJlNQDl8IkiDv99zau0XYp+4sUHNyIRGy1Z
tpqU5DPVy3jj/cf/dxcDNyJGi1ChtzmlUClCMgvC6ajxpb/BhCy8RBNHlyPMmi7p/Yu9edXcWUB8
iGXijsN29mrVYTRm1W1kTkePGHmP8rXjy2Ih0iW+fyH7FbUZKizb5VI8wGfkSH9dGRXEW2mv9kcq
iCZpb0x6uH5tBG2HtTkO0e2pzgaQEDdGTpOMCVO3ovadBix5OQYrpe+SNAcnMEaaJYZ9SLxmn/mx
aXhAWaBezs4kAIz2XOU0xyPjkptOIrUu/+lGfI7HYUzGuQb583UplErcIPyybY/2zPx4ZEpxQlOW
7mNz+sdVF5fiG3AZBQDpvZmIwPC3u0EjtGmgEyNewb1sRapEuCV7qjq5Un+IHy6n1y8bo8uxBlVy
8QMNLAjIr9+SnEvHUo1wj57S7p8kpQzHxo3C+zMg4vmk5m7UXIivldb2BweA/foTcReSJmRNhysv
M0gBDP0rF84tIBjAc8mOFp4X5YxMPfAIQ5iQQODwh7F18B1Zbe5uhoph71UYQ4WQThOnB7ubYFKQ
3zzdmX0JijjnC16jiOmksegb/vmsV2lKr83Qu1vpjd9NhuRvGlNxCOEDMSbOA6e6FVnLjH/5vDBj
pHqYusaqj0Mz1e0KnY++EaMGGmsjhrenHOAI/oQa4sW/lRHwJ/Kc82ZjWnl5O4I2XDVeZ+y1m3o3
hKsZ877yJcPdocOJwvQxSCA2PjMJgMewLlwlblNfdrmLj4RfkFGxqbAopoGe0yMKU2uN/Ez0iEOt
ROHP0SuiccG+zQFTEgdfNVjVBXl/MwJcq7B+jk2QA4obqFHXoa4XMBQ7gORmmDT/7BsKLplXAVFC
2QmxKSf4ia5Iqpl/Oyv/P8XnkEcgL2Gx1DWqZq0lshBYI8kWC4jcihdq69TgcXgRB4a+q/VcJjew
hAqi6GM1dLct5JtyA52H1V1ZZZ3fVTN0kk3Td5baMYLUd7kJ1Tj2vCq/gwTQ/tTMXWcQ3kzMfzqe
7N1PjbIWKGokUX2F0JI/yK2LZ4H6gdwmiM3MBu3MvRwWawMQDRwoiB7scr3zatTAG3AQkKtuTgDC
g3LynC3kQf7GHhoajKzRkRdKZ73xWVcpl1b5zKkVmozt1SopnNa+luMgujsrNZJ2k/O5JDf0q+hF
rcnHcAD6nnsxDE3r54gxBmM91xLBpmezhYs55guScqCRsP0x9S/dIbLGiwSJZcS5akFnqZoCTCuo
+3be64IedsW0HJSRibNuvlhSNAWqV8EHhmU0UfBG2nA2nOsAMHu+PuSjQA2JxxTuiMIEQTkeoBr3
0Xmq9EvYzdEN4nBopWcIThQ9P8ZJtPXFzWzxnEZJEm3bvoWX/dey8hbKnLlovEYfB6xnSVJQAzhP
QqClrYQpKKeiWtsdxIZ14wm+IhUsWrikEDxXu10wcydr+++Qk8dhpyEm3vw1miFT9zkSzlJIxC61
XVD5sDytbEFiG+D5VU1a0AEhNwj8+fjzvR6QMQG78i+FzzxilZupznbIYcz2BM+HZVr+P/bOY0dy
JO2yrzIvwAKNNCpgMAvStQitN0REZCS1Mmo+/RyPqu7Oqv7RPQ3MLAb4gdokKjME3d3sE/eeW2ts
GvJZ8mAl+DVzA1E1Sm7bsuEHETqzk02dG+1dCUdzeusnx9RAgThWlt25FbFgZ2vKxYOdpqUMeuBb
85ersclYoxc35O0saqbA8UxtTEyuGJ2C+5g1QFz5MeMK3iuSbQ6yTNmZzjOFeQae1FIdUAM/T4Ya
rkoYIhQILgDK9JCrlmn9nDOUxIVZLi4jCdRmh0LXJ0ZtTMg7lwHZ0kMn/P3G/+896b/dk/Kp+aVm
+ScU8Tkpy6+26t7/vCj9/ld/W5QCGnQvxjzWoRfzwi8MQs/5dufotvu9C/3eof5tUer9BqGPvbpk
JkTr5nDp/m1RakIu9IAX09VhoOMr/0eLUoh8f76/yQ2nCSb0kIbhEgDxLXn/pTQ2kQUUxK/ox1LX
qrjpcbrb2gqnfggRSkz1OpMmlsXZHGq1mYgUAipVd+bXNOV48oslKdkzze0Z86b0KlTViOWmJZfy
SXhUV6uxFR+Ra0SPxYSbPIls63kADHAGo9TdLGDPw01SpcR5VUgdz9HI/4QGPHn1VktjojK7tDyC
z10QuFq3uerMD22EqXNkGzVBvbKN7jSkQJcezSzsnVO7NAs8idwee0Rahdn/SL+Xt0Y7sRurdB8j
5GaZQaUsWTuvTKWbKMnN/hU158iuqYfOd87MBH80Wj6n3mS8tvdQuAo7MA0Ux+s6D5NHAUjVj9h/
LYFKUsar0CTx7uPyu7dlb+xbp4u3xpT+yKnL14mTXOiCTUIcI2P9bWokDzPW2xs7ZYO546+YZ0g3
YQFMDQNxR+6Y8lEmm+tOaO9TJuHT6mkxwmpwuCgAPq1JefaQS+KmhSvsNNZ6oc28E3punQePfZTo
ekfse89r6PoXL3xaCte5rx0rfFDdDCEYG4aprdK2tnKs4ZKT2VFh+jLgbV1rJD4HGZIvnkE9+E0/
lQfbq/JjV0NPLvtiTC6VTchueJ7HY9d3kRtoUR2vncRe7poykom+DSO2M5mALtWBj/aNbiS4YFzK
FcOjIQ5k2KQbdw7DnawK46VeTGgPCwjWBy93ctDW0egkO6npbv6UAJ4uHyMCxxx93XPHTtp6hFzV
tlt2I7Pe7rGwl4SVp7mViPeoxYDLK5cL37KI3C5aGRgACa4WVIzrSQ+R8aPKBrm93LlxaK9hKKEI
zaoxDRIQ2b6ECYvd3OsQVGNB9S9p44nfWgZwsSUcIBC5hKRqzkMGr7ewjH3Uq7M1u6m/jIvvJNWV
bJaG5KVsCwUhPDhZuSmpTB81Lb6dUGz5im+zQZ7c+RglXoU+LhtWCOEmHOZ7puntvoEKs4bOk56a
QtP3tSWzTRc2xsEjBMDPKGfXrYaotpBTcpCMkjajW8FNyudlrzd8NA07Nx692XgrOxdqmYgcP407
DVVqOmyq0um6AwDUdE9V9qGoJg4qkdGxYTOxWpaCoHooNKzPglbW/UYuNc9HA4lWaGUQNZqnIZVM
4yCK4y9raV4wRAACY/uAeU6HLSAVGCn8ioBy+jk6ldZEfhBAyi2W4vsu0VpfVInwWTOEgVSpuOGn
T4+pNWuKxWNX7xF49F+41eeVG5s8HD5su6Ye8I9wQZbRAuCzaRCuWveNmd9lbnJaREhd2utwGZeH
xO62ld56Byca71oP+/tSGCuIXOsIopSKCHx3B/nYNs3WnadzCtoNWk0/bVSdd+shZJkWhfLJRpns
j2XRrkSRf+US3IRRjjaWmri/TzTyeRrQx16H/R53L4dg4p5ljd4diDCbJIjAPsB4easDzVsXkypZ
jg4j762auBBeD3tL3dMGWuz1O1fln4tD7ABFvnewOS4PvWJjRmh7ehV7XYq1nCAEPhXiNoqb2yFt
15rLL7VU5dXkyvQ9v5xmWR86NR6kVjvWtSHvEqOxD1XdxQEvGCUNKUPolOMXXWspZ4zpZ9wVYhc5
LS1K0uQ+GB3S4FhcHlCtmeuWY/22M0eIHIvt7bPUuQttdcsaXN9wTLjHKtVGJ2gzu3vmXOlXxuCE
g1+bXXqVGv0QNF3WbXVeqI0O45qNlhXfmdPkndWko27QupVMi1cwMEbASg7FdbEpAXj6U1o75Fi3
d61dcrqgm8SfmW7AeJn8eJV8j2UCeijmdmjCAJsEwexp95DjQdgYxRLej9l4rrVGBZPo0kdkLY8W
QCU/14b3dvFe7AiWHBxH3sd9DU8TCDi6wA3YiH1lp1vPSEOeYiOvDBE129FVnyW4/LWlFhDxnfFQ
E0vNGzhjk1HE+XC0mlEH5W7e9V59ytv4CYA7JBtc43olZ5+Tdo1l5k16I6tXaQXZ5SytNffGbc1t
C+/+buKlQ2I9kD/JMeq+ZWEkXnLLtVfKdPioaZKO1RnOyJLXQ5Md6I67jTU0xlGBLPSboU5Ym3tV
HGRz7m5RgS/7uOp2XZ0ehiTMthAXkiDytJpVJVkBVZYHS+ghUEUrTFsoe/kpNV4vwCiaezUvuryN
iwsUxFHNGdqbFszjUK0hZcYf9WTLYDT605Q03Alj/ijksCvh9XnDwsWaeth0VHc/MAfFGld8DlO5
89z5JXWyfD3w+yAcqLKAsJ3kOMzgj5CpbiSGeiOILGu5mkC0wHMKm3rV04UdrcSKNrNmzn7bR+Zr
WPX1HdOjrPQ1lrP12s04mYbCLG8ibUAPXSmwPR33Wg03djdXVroSQtSbsq/7kwFfB5WHQfPS62DP
TO0x1sbL9Qy0q7I9X3OtqxEj7xNijfJaj+phWsk5lyh15yXt78pUc/demy2HaTAf5aTXHwQdatEu
LNBGbCxnNIkTyAXJl1JWEJC4Z4310HmfhTbciNhBoS7H7q61yhtI7xoNpHZbzHF/jVf3uVWm2vST
XR1AbD67LVlSU5IdDA3xC4PLYWXA5XrjeJW7Ea36e7oItUYHpfYmKePrtBrirQ3Sw3fdOiMcQPLL
tsOrFxGoVuqudo5QKz1hMBt9EqHcnzZhwKueNb5vxWb+XrnOfO+MGkKS3n01M6sO4OM6T6BHkpUW
2nqAwSp9AFKko6dgeOo5JNyYJra7SV4+RLxgqQ/aEEAK+28+1/x4ER3Mukh/1Cr7mHXNufO8cng2
22Gts4m/wpJmYTvgynbSWqBWTwhIpSlW0q91lR+RV1dAY3pJjVBGZ2Hkuy4LM7DzDoCN3qvuEEc0
oMvcuL+FI+ruFsdunrXF21XdPD0MeNI2wku8JPBgFp6g6P5oMveT0znHK2l7K3q4/jFJxdEuTW9b
e/htLERea+xHXBA016vOgLUTWwbjF61KDZQWJFWSgd6cUtEuft6186nAE7YbKzFBCGw+86gQQT/l
Cfy8ehD3HJAtgrHezF3f7sY438oyQldRyIzLq9XK14bV5TGyZ2uTUws+XRw1MxaL3L2YCmbzvohN
8cFAxf6QSQknc+kiYptjfDWMzdfMvbKNgZ0NrROOGHyJB6dfNIA5OApM4zqkUTH53JYKsjRMsFVB
5YGhKxmiOChCwVzyqNBIbLJiiO49jUJUnCm0ggKclvKWPbL2H6yx7G0DNWVVsC/DnxVdxCmV4S+T
5flckltetYOVys6H+1mv8qpKIWb1b0MncSEtde+XcLdXVo7JSIUN919WwcouQd6ENfkkrsh3JkID
P1YpDgx9XIfKvErj1EQmZKttXtvuMYkLZIQd+6bM8ZCZxZt8aNQdMUtyq4uPnoSJTYceYp0W4SNT
p8LPG2MVatLESVgToGopHCVpyPJ2LtdOQ6xZyfuuwB5H9IQhgkora+zewwp9UcNxklg+AsoBGB0W
3yWL30avO9kU+Bvd5RHDh3vEylCtoSigDEqK42jjnEqFi4huojRE2wadI3Jq7sS82leVvPMQl2xh
KH7mZf+IqgZAs73cdgV9itFZUGjQQQKy7Fa1nGPfrC11JqdhAGukGU8s3VoCYIricepaBihwjEBx
aZLllIL5V6ENiVmo+kZaMVkrlkeMlyii0GkFSRUmPzIlVmJyFvxlvMun3PZnnTRWe3LDR0fkJyxf
8kpJXKh9U/6k+AUxFLdrkS5VEGuZwUs6IHVsY1LQ+uJRyTRZ5ZhENziNvbUkOpKi27X8WUvzM9Do
SxxmVmzg8jdXtht+6K0i1DOb0OOP2XTbzEghvdYWwZw7VD0C04Rep1flNPdXhl4FRdWMwdKqy8xE
n69wLx004ep4oiozcIaBBbznjCe2vj8q+g0oq6+Gu7xHtU0WTdufaHNnHkaGsmbZh242rFGlbfP4
p+Y2hMnbrX4SbVrvmkzdNIkJyDbmeIwbNwDtpG/qmvYWMZ25hVm+NSpLMK1Kj7BuuEBTHbup+wjn
hySyZHmfnP4z7KOPqsp4/1Tmbd+dnSp8rIalA3RURm+aBmiwh2AFSmkJItM5LZ774tYY9jyv2mZc
jj7YZuDdAKp8rdTFScr6Nh2pzrQ21YOuX8CqEreh47OrRsoz7Qam6OD6WTEtXAlpyK/LTdAgPajj
zewSm654B7/NKv4yMwwTZjjOfmwarfJHie0WoljxmlcpebhJIgoy3w2CRqbKzCnwKgya8NnL2xFZ
5W7Qpubih822aaJFKqgNIItBhRnzFXMFMj2GnzQ5dfM49m7OoDMe9lTVGR7zuNxKr5Sbel6iI9Zk
e6PK/mFWC4rqyrv23D69KRNN/LSStj8ucWIfQCGrnZHP2aEHvruxRqkeZIn5ylXGOz18es5KSYMf
6de4cAbIWFV0MpnYBT0K9jMjYxi5C6HNZoXjPB3olgZI65uOrcZKJREFQInmqzTlKkI3iBuZfV3S
dtGK2YbGeksHiN4jL65Tc23EeXhtIxMmA23+gEjt+YXhINrNeWIUteeyJ+pTpfOeEGRki+NwhfyO
sqKNEaJm3hs+omTVuA66zyJGlFtbJWWQWlZkBVFwe7gd+exE9kS5R9e/IXON9NrJwKbGDDOGpL2n
btw7RYlSOy+Iy2GGtOY0n3nprXKd4y9Psb3QTLl3farJLa0wExdzSl+HzPOopKWenbmquYVGuoWr
ufWORDy6fk0A9coIHcvvM0J2GHn7lTAaLMatjrckT3ZtJkWgVJ2Su9vqxy5rukNbmT+bBWw4Miz/
0lsYS3IlON3XE4TJm1TxMlYZAEQvA/mf52OgoSrz7SrpVhl67uMo05vEQNyYVcU5sp2nyvXaLfV1
Qygqb/92mjal0LfRyLwj7yx6GeKVL6RdvhTCTYSP3ddS1SgJu/PM/N5Xc8iE20QT3NBnGWYZFNDe
sKXF/Hrw5KDIBWiLOZUtPdzFhL+ugf1ZFC3zYeSTGvQX+q7ed5yRllBwwoePwUk/YFPtXdncTCiv
9wlhMitayCNH9BP5hOVG9tOaVot3MlP+oBtafHgi0a8W0RtbdxoZoyxcusx8UW2LO5y6ezft18tg
ZwGQ3dKj0VnK50ZqjE3GcXQ3BjNmzs47Y45mfqOhW2f2SOfljtAlaAc7TSenDoAgE4GVCJPxEEOJ
8i1ZfpRd5d2mkcYL6VrbZmziFYrD5RFFxY2zeCDna2GAiNQ3XUvovFQqJVuxAlJlw5ckGsNJHwpC
yVzRXLWLccxc+90UBlPx904U275zf6phrmlzEzy3YiHdqvBWTVoGIq3TFa6qn3VHLHmuZW9xo8Xr
5jL6v9idM6OqGKq4zEqW1ItWZcksIBYLZQu26bRKb1TMAR20vbInZL7SuYavZxw0avoaWW2O3n+g
KR+aWfGXuMkRvIM51utmXbZTqVZx57DXt481wHWM/oGdTuxupizvN0xxUODkveVni3Aabui56SEI
LGorMeV6BBdJtU/yhgUIp1rnsztUVkFp3GBCJYbI7h403JbtpnBRe26Ulo0qMFmxVUebHmHm+DB6
zPzSEw2wVp6RFdbMHKBy6qceC8xHm01O1uG991omFr+vm/9vz+u3X9UlUa/9n5cv/ElxwTkXd//r
z39sf/9z9FVdpt9/+gPohKSbb/svNd99tX3OP+UL/fE3/0//5x8hfv92Es/y/F9P4jHGspT98yD+
+x/9YxCPL9PDVIFbyUBB8UcSkGf9BjEPS9LFcvR3ppb+m00vaF/m4pcIoAvE7o/5u2mTE4iew+Ev
6C5SCPmfzN+tv2b5sjZ3jIuAiWocUSZu3T9vsJWwAY80Ea4IS6fKxJ5tD50vEdzzAbTl8KpHhYOJ
waruknoury4Tc79xMQMEpdena+Ek+n3aZcu8VsaUXcduR26draHS9hy1nbzEPAAbEIwZExINLBdt
DgB7T3IJYD4B5WLFxyEfq5MesSrwKyM/YRnObhwi0raF7sXb0Amdrcxyaveo0ADjgXPeLkms9qwG
7HPfXo5auFMainJ230BmQTCTFzO+ZXC/s9WEZD64JG3BkbhUDqQQ3FWNxKKcEJa87/WPLFuqd8YC
LtmIZmj6jFc7Cki2yiOrgE0WTvb1GE6EeAnbI/H8wq7eXzzaO6IUtc+xUs1Pp068azMt3T2EHPUV
TUbYBHFRi5skrnsAHaa6k60cD2nm6Cygs3QmxSc1vlK9okO18DAwbTTpo7CGXEV6GR3betE+SxuI
j4/3nhXq0pT7OWleBm9qIP5d7BKxOzzGddfde14H75ZUIPVx8aG8cCpkHhNgak4bS3nPKMtDAuWW
iNSQGviGnqh9bHmZQ+Uu1HvDjr0PDDk+E4PLrdKX+QeRhd3OW5JuI2SSfC56n58SXV1rS2QdMtXV
BxUuy5F8GuJ5LafdOGTPGCtF3wHkYu4NxesZZS90vQzUeEo9X40Y543RmvlxFk4IAaiw+UUnj0tW
hP1JJJYGIV+PtxjV8wcUpvFz1iVxRs9Ym5TwxOWsCTNKBYMA9EXMzMwM4wHvPUbWsj/30ltaaL+6
CZZI4BCLl4soNmJIH4xtGa/yxYSEgitn/JkwIKR0nC4irDJnkV2nMSl5+Gl8STtwilS1rOBHw0ZQ
bnGuwQKdDFZQc5AVI3Mp5mrcU1ZVR09QhgwbykgkP5pplNA2sSpsnZxOCGRRcQmJZudN0Ucd5pbi
CjeBdxuFcxyMrrYmFoHGfh5WtrKuktwbPuFhZ3tdMT4aU4b2q6HtyZ8p4+m4LEx72RV35aNXpeEL
aTORdmAy36Rrr3QEaYh62/sxOSp3A5zWcD3MmXjtvDykqCub/lb0ZfOmkEcEXj2K94xhDyXr3M13
JGLl7g6y+kgmletVmHLmFnq/OUk/7ODa+n0ozCdz0ONjg0ftg4Jfh5XJKjkKHLXkuzoq3beU9LJz
Zk2zvkdm4T0sTCmZ3bFsuhCZ8yFf1VFbkcJSFu+IAbxHRv8fmj7WK7tWJrgde/6yasWKqxWiKteh
G5YvaUSJEeSKkCderFK9dg4tns/eqt67YdWRETSwc+ssyztdAkNW3P23iP886RMk0q25hRvgDEqu
XZQq0Ccc4A5D3zIyqpOVZAIOH6aD9FkJ52DpLT4wM2asqZhsb6u+50RjFOIE5LTo2wFqNUmKmrWt
Ej2bVprXhRIWgNJfDaLs2YZxmA6GToilVxZJugWWk++jmTQchmEoYsgU7u6Um0gerFOkz9BhGmJu
BJNuDrOw34cR2RKQfsf6bXBmjAcS6dkOTEYEgEWf22vZKu2zshyG/a1Ih5u5mTUOlwXiRqWlHsgb
KYeNRoDTG9CO8avJ4/F1lqU4m20Ca6YbW3f2TWtWYeCFZnMdz16YrQAOFwwoxhCLjwbRSuj1fZS1
9crNvJFBryLZHQvKyi6dg6xnYrzKMr/1SIxYDVES7tOMY7MSstlOevEQlVa/bRVJMBfQM7MLhcsE
J9NcsrQY7DXy8eXHgsuoWA+CCJjK7CF7VfGAh1B30+tJB7TTH2Xe2GXHomask2fI/vQ3syPLTH9x
54w5N4MaU3Qd6Ni5Ta/DKdSghRH1KlJcXosg/tUmsOrOFkTCciwSDgvAdz9E4xN1annXoDi860Ub
Gr6epOHTeImYNb/TZkunpKK9RNC632m07SWY1oURcaODa7rBR9tsCJGAspxkEoEXyxR6bEag7Nc4
trntgqmYk6v+EoRLz0UmrnmJx009nR/XzrSN+E7PbS9BuhhtGToJRbwuJkKSaqFcny2rJH1XXYJ4
pUskb3oJ56WWc9H5XCJ7zUWbr0E+9cW205oKedYcXnnEgdyzcXL2Eb/4J4N5QCizsrb4ksHBh83y
lsl0AujSaMsuEvlMuTgzUmFvu2464o4y5j/Dqk/EcjS6xdnHScwIZExvmrzH+NUY5nVYsbjlkM0g
Ei/hZWthsFSpogqGubzAYPrqJsLbt708zwdVTeIEX1vtOC6cbQoa/DrLhoGG1hhZrXtL/CPssEAm
E92Zr5oJOzRZsCTNsJW6NTI1br3Z8/aD6NsnFVbQ8oU17Pg82TNL4UoxoHLYI7QjfGlURLO+Ynkf
082aXnM7mnrBCjU1ycQiW5wklAQIeJPLazrN8Lw43rRvuRgR8xCwDT76U68S71O0plH5Vms1L2So
xW/6GGakZmn1Fs2pBmN64Kjh7RdzScvctAICrJxNMqTZDZuQ8a12nHGVdcJ+NarEvTbmkk9efDk0
MaMYyXYZR4hbikTm6r6cvRecn7jvhtiNa1xWTS8CvXSNmMXC6L0mWpjdI8BsmxtbtUm7Mx18q/5C
WCpZLylxuyfDZp7D8FiUeoM9N07gXgOsEqfKWOZ71USryTPh6Jux7Wxqz3aCGKtgGKTReLsIgx1o
p/K2gCmuxS9WbVrJu2HzEQ8weerWWo1sthnLE4y32GchpmlgzxlBWOsPvGUNxVZoKLFCvzfh8krZ
Oz2zti0/02Eynjw0AQ+iieoDNtqHpnTmNbjjYu80LfmwPUQcp5ru7Hx55QD8CUz6Pe3sV6cf+w/s
VlQQkqAuv7X6V8fT0p3tuPkNSX7rURbaiRcHORow1X2JKPCnuVhD6Xd1k9HHMo3HHdcnoEiqubs1
rTGbA0b5jKZqxVLiwbV7tS4WY7mNF+od9k+jVWj/b/qic/Kpqrb62f25E/rubv7RJv1/1T05LjGd
/4L3UJXde/kXFdP3v/mjefqOTUfszRzp4h5Dxfz3/okuiZRVJlYQHQQegIu+6B8qJh0YDnJ7qNoW
UO1fVEzyN2g8oCPorvD7YLH7T7ooecEf/ypC1sl5t4XJfyaGPSwhF9H6LyKmmukSCX8zNHymtBQp
WsEQD9m3FViNnc07B3N6ybgoAgJ/MVifSa/UgpyG+Ecbsj/3QSgZcP31uJlIk2uYFFWtY38uykA9
UiauZJVSz6eK2XD+nCyyOVXtov9IzWgik6jPSGLWMeNeghI5UbeJZlePKCwclECNNwwHVjlqPKva
LtcxGlPKJqaZqGdscrnQogaiDzufed1J7+c68XH0E06WlouxYsLxNlDJc0rHzK2GSZ+p5GCtYQRg
hEH2uNx4bkimdDiWDMakHSfnHJXyvs97Z6epXu2HqkgZQCTldDs02tZIe2NVGd7zSI7QNtbyjrVH
VF1+Knabz5PFccCKir0rVu/YE2grLwtGIRhQAmNZ9VWesiRBa29xxZaXvCDmZ22wcDwuTMWJliTv
a+lpvYzEOoB5a2+Ipkvt4wjE+pMnQqwJOLJQPSx2vewxZreaPDoqmrJ1qghllSORWVvl1jHJdpMx
nskHIBctv0xc6cvLDevxYgD+JeO4M3dpMsXo/REhQGF0jgsDdnZVgaB6NaY1+WN9ypzVixRO2L0o
kAoMRwyQoC9RTtJSut9SZMepVzXUtNcBKPVd20J5YLmjTT+o6uv0p8eO7+dM7tRoXhllaxV4q9mY
bTjwL5px1MrOS00mGuVu4Q0nIuOyA0pkROCOIj+arUaf7hMm3+Za5dkthbVa6wnVYxhn43U7s+y+
YKp4WzL6X811FkGAEOLgpllFzp2+bAgay7YZOawiqae7zu4lQUhabqwST5FPnTdddHBdyvJAmjzt
wEjdEA+vzswwN2drX0y62nC+tu+VUeefRtcIc+Nlrc2kvmH21rmhy4KKKBUUNq0nyARgQSzNKD+k
1NBiJ8v+LU7l0AVLJa0bItfZiVWyjt4iJfUjMMpig0xP2w6mRObFtzvntllvxSKm25JAy8umh6pS
itBhSOaOAM0MPTteFBYMSo2WXUlml/th1GnDAP5REHW5PCGLXw5UYUw6ibVcZT03kzJRj+lIBvo8
urJjhhKrXtonjJJwKaYsfKMm8DawJwa6SlOusyYrD71w6kfk+lfENVq3l3f2dShafcVEAElYI84L
eXg+l3YXuGzbNhSa9NDSrPWflSDpvLKy6CWqE4zOjcQbP8CeanNGknNiR9s0HbItRsmQGLULsBPs
5La2lXcfSc3ybcgsJ8IPnhZDvy7NFMEdq/RTtgzWifqQrjttx2erIdvFT7NpRFhhGq9kiiIk6qFo
RP6Y6+adbch+LXDI/9QA4BZBx9PYZEva7cGIfmJG8lAkhvAjtX5uPD8bbHlfm+MUs7Mfqk/pztED
q9lI9wFIWh/sGomzQUjH16i1PSwFrPzwYPymJ9Zl1JEgZOB9AxfyHXmwCPvNMnJ3E3nw/kh42SXL
naVEZ0WCN3rfJUfhxf1DxwgpyHk+D+3U3PK2Zj1vzKTRMiWystDbaSRiQPQzG+fgKg1fPMkF7o/J
LuMbL3cTqOJV+YPZlrfKdUofv0bobK/nSpL0qAvS0tK7rlDuHl3qtMp4d98LIvgKX4yzgabDDIOx
Y9KtM6eYJwvtm+M0sCgxqvlVr5tvVR4BnY17pK6jkCmkSdt6BRPmIfyvl7uKwVlAOzk+s/IkEM9M
q7OR10w6Bmf6JMUQBY5hdj8j1mhBZjVkU+Zxi23DMF8MpGbXi2AcNRCvdjOXVrUROWpXg7XJEVin
fu8IyK8BJNms2VRVG63bqtHfEfOrlZz66g7INGjheYwRp+Ix8KXoop/sUvRdOZTOq0lHoK0W3lrr
hSMniAFq2T7ROuOqrDj53ZGxh+MO9tlolijgE2luZCSMR1xi9dEdrfhQeaqmeGOd0uGX5Ml68fyV
zAh2LPRHadAYIQnF+pzT5Qi2y+EEXEQQyrFf1Dz3ATaHLzKpzbWYKo8u1qjOCLbSQDMbdYKWMt7m
jrbu58w7N4j8Eh9hWxwSfqNl51gXzYqtUvqWtwPpQG1en53aRfg4ihaZAwHLd5IQy93gdtO+msJE
MrKUxMYQ+HSthjp7LmBRP0duqW5YtoVPdRYmx34C3hCP7vIolJzXsV6l25nh+zqcO3agdgn4QvLb
VgFtnd7ty3wZULU5/SMIKX32E9mWKy1hGWdbkiQnPdZvmtZhieQw3ziUo8YEtMjG+WgxO8yAF5Kg
41bS5Dl244uc2JpZA5I+JGzoW1GlLQeRCPvT4OtrQRWWyQ0O6pFdhO49z4uFjkwuXPQuYfCXILQ2
2dhJZp+IG6wfyCVGiKrhsctQIjKoWLnjdOqbSm3ammS8/xb5f30vKP7dauHiXPtXxfHV1/g/du9F
3RIi/fWn/cLv//KPEtn5XhkQNIjE/5f1gmP8ZllY84EEXNzmoAn+UR5bv+HYFBYcd2CRiLkpav9Y
MkjjN2ho/HWcA4KKVjf/o/L4z8UxCQ1IhijeYaHxU+A3+HNxzCpxiph8LKAzqA/NhZPbsKOnXx7K
f8Et+4sH9fdvgvMQ5z6/5z85wCE2azXeYOJvMgxQk9MuQGQGJ6gz2a3/9beid/m12P/+VpLH4lhS
d/R/8n1X4N2bNDKX3TQkQGbyhALCYFFNagMDeAypuwIBDJmhliR6bq7+zbf/iwEW9D6SAXmZUQjB
i/ZXNyeCTjIDbaPZkfj0YBTOs5u0/5ld+fdvYdFs4TkHIGn/xT2slDb3eiianSXGB6BRTxRjVdAD
v6CsbniX/r3X+y9eOezZf32gLHwN3CQS3yj1gX7prn7pnuD7SgwXbbuTI0FQUVYIoL6eVhwyKywO
OTJp+Q3/hQbXAQI2EYhgsvXgDxXfsOAWNZHvGJHAjwi6fI9+DLDwUA0e6/tv4HD7DR82GgGNpmBA
qhi07dE2mB9GOm6joe1+lvLCdVOdbjyhRsAfN3t9sWJ2YV7hSuFajjNzBcV0epppHE7UW2Pkm4aj
ONQbr3iwrTx6JgmyYlyuzNswIhLY6siisy16wUGi/wLWFF31JGr7UQH16MItZsBlNZuhX5Y9Spoz
YolhYxbFT+nkd1UiP+kzbjt2JHQabnGo9ektGlhcecQ5rjmbcRzgd1ll9dJss+aCky/FymrT8Yvi
s9k7RFrVxOZQoFPsS4NU2LEa7asJZWTgaXZ4+N/sncly3NiZhV+lXwAV92LGNoEcmZyTpKgNghIl
XMzz+PT9gapyq2R32Y7oVYc3FWWXkkpi/IdzvqNHxrOjEe+eqBhkZ4tyOx4GLIyaB8m+jYNZJsnN
4tXRpbPxKPRu6gtviCA4MYeexnAgljELtwnMn2uaEr9XqBZC6BxXViTsdEsl0M2kG8+Rd+yQGky4
bRzvUjuAIJRrET/uYi+s4MLhAKok/UwxNY39ZBaO9qLSobklvZCf42LfvZQypXFq4v4gDFIh46bB
TQq1Q12Fed1cl6RrkxpapzuGZVwiec20siSoLhkLyRak13dDnIlnsyQfGcL0hNgh1vvXPhbYE3wx
yzMosugSK+qpIoaEHNo59KPaRs47xiuGCM72mRzX5r5aePfnTXsOMc+81ovbXUy0jwdkBvJaToZ9
yAuuBaZk8a7vimlf5MarouKl647RqCWOMUEtjb17wXZuT25Hc71EWnm3EuB1lj3X0VRWNRuaTOya
EexfaVsRBH+7Aj89WfG+8cz+iuxocm8WZd+B/9qFoYF5POwcufFk9JmEWMVU1nqZhuhk5mGN4GK8
J5b6iVaSd/uQQMFGWHnVtbzkYzVQXfbMAWG4yb1uMB9l+J8dZoRrR6tq66u5FKvHMrLK23zmvcEV
zewF5lsk7o2wnt9ajV0mILjiPESJdtVFtg4m2UP3kWlENCQ5jsc0rJ2gFjV/W5Qa6DA8TTNQsUKq
CCsFREBzw1c37Qo/dMneiMJwvJqo/hkO9tQunqb27SAIfU6Z0JF4hFsm7CefSGnqQDsbT4uu5Hmd
cu7CBJhgifqTsomoU9tRb6x3XzzJtjrqOvEQs6I66IPxGe/RWXOz6DEtBRN4hyONjO7UmWXvD2Ha
kOyJUSAkVhLhFJg1e0mutbZGD8eWMsDS+w75DKMOwJ9544bRcAyZyG+lJu6RD+46puKHROtBl7Fy
2y/A3/2IyPsn3KMOE+t21IKKXIddr5fGWztAMCtVZW/baUdYhXGxrMrzC5k2xbFwhvau1yqDuaxw
j3E+GshNVeZPAzMYpdANIb6plpswSzsMrWE1P5XSzc48kJajhHu3Ycjw2pSs+HTP1TYjxaUP3oqd
r1Bnatq94gXAvp6+fROtyapZLoubNneP2aA/pblCHBpKdolucyKRgEaAwUsQppp7HYXpt5BdLmuF
duv0uvnWC7KKk94YbisTdQ4RFdx7PBLs23hOpjP4lOxICklzYESbBuW4jJ9KEHn0wM3KLPKSefYz
mxsICeK0DkG07EUCzKA+Xcx7POR2AEJO+jLLk3ZTWpnB0lV1WxvzMveJPb3n+cyioS6ocNvCTxsn
ebYIITjMXoxEtW6y1XI4mT5wEmubucBA+sUxzwQmjzUbhWW4zVtXO6D0tJFIOV8dabDZGYhWCOrQ
StBPuc4laye5x3Gco4IwZ9SgMxb/1ERtZnvq0JPTe1VOvXWwWE/e2rEEWK5F0WfX2sLenvfZrDj8
g5qeJE+uQCc3eMdByi4GLEDfErICI9Gl+qNZ21sbC/9LN6fm52kgJsNu7OWlLYwAkCi+uKRqmpte
Vh0S6oQrj/3oAfEEMH2IoQEvz+9F2upMCBoiuaOwPQLkH49DYvDM+MHNR1u1UvT1laj/8ar/v1YG
/f+bgKPg+Uv90FrkX3+b4q/lnyv8j4/9bQhurNIfIBPExTGy/snKK4X3G4WoLbD+/uAh/63KNxw+
RBnvuVRncOxMysk/pETyN0P3SMM0INvhvAUM9YeE6veyDfXVD0nVPyjjrF/qUgFwfa2KyTGyuKip
jf9cxZHemy1jVCTnBvHZ/GYyoQPMYjqduRUK0yBP55EX2XyIWebk2rHUFXryNSygOMC0EHu2RvN7
Y7DI9DVRWf6UzMNyNZGh8I271AliAFDNUh8KXisMDTdpNs7mowZax+2BaPW4adr3jAhlXlEzXk1r
C/czUai4Y61z7oeyHzAPV3aHs/DR+MgBs0dsZK+Y2rN4Xh/xKxkAfWuRn2I27z4JD7xiBmZgUC6j
xUondWYZVlfuo9KdZbVrotEiwUSiqKQcTYoqby+ty6Zg6yamkYmXuHY6ElqLanB1Eh9EjtMZJHuK
2EDUX5XWNjunruY7guoLFAfzmPBRe9aWz1UhnPj6Pzfgv9ZlI5f7qS35Oyv9Tdl06r/8t6bM4l82
UZwsPvpHm239Zlq67SBTX9tqtHx/20S57JT0tf8WONRZARn0ub9vohDtoa+TMN9cYeh8jE/9cRMa
v/FHwZJjtOc5vq62frnp/uompP38pZciZlM3DA/Ij+6CSHLYlP3cSznrsJQFbnKAxwADS3qpArXR
Mt/GGNmQXNQNlSixczsK0wyiXjKKdbbdVDRIvnx9RKi6M5YpT7elVUb1QctKiYmsAuIsNkIZ7Xse
E/lOVLJ5rBip3/DOJT/NROjOUok6FXOMcRxiSR0yEhKScZ+SbJDjLjhDzS5fizXquhILpAocpHBt
Kc7ds1QUC0hV5U1OblnhlwV0lU1f6m6114l/b0gX19aPfEBQ0iSe7/S68557gx0Lk+CVfIhTenqI
8AA957GcHhpk18cwXXk3RjU5oEn0Ii1PJVxg9wRVqH1vXQEUvMhBenyQzmXxQfU12byQYQMzJ10T
lDYVbmJAKHoEu0ka8rI+B9+cFZRSllp/MAZlPC2jO90VBnyf1hCsY5DnyptIX2HtlQPX+gc5mb33
uo/xEozjFYuQd6LlOQI/aMCMIV+posWwmYyGP2ZOYOzy0rLe5ojPUWzzBejI+bYjdqw7YUAHT0JF
d9gbJG9ubG/itzZX5pSbEu+WJYLfnRQWEMb9KIwb28QVVMAVvTFSpGwuUJdNM8a4y8J4OBolSByI
6XzmB0kSAwAE0HzKAYlwXXOEf5zQTEQQgxD7eM96v55hWqvpjlPatp9IpGFpN1ZrTNgE4CYPRIsf
4F7LdX6FEsE5AotB8U+3zeDWwHUBEYbGje/4Ay/DQ53QckeDib6vuxyFR7XWnC+N3cJIyfJFwwYz
Lt9VuDKgxVB4z3M2PnRLa+3mQuEKBZAAb0Bvk3tnMJF/YZ/SfDx9+qUwuQCx1axXbc6FnuIKC3dz
FfGTllDnnyQq893UehF1gsxz9cFZd7qBq0FvWs6sZ3RA5T/g6lDKevMa9u7KZo1aLj6NDM0gHHi1
kTZVde8OdttoK1bSuxprbkJkJpzgsoKJgcsrWl9jSVXMpwJvQuynHn6K7cAlyrCb2/JcItEwDx/h
iFrCxJ+ZvMH3jpceQFSOMBULKlZS/K9MEDchypj3aVqFq8Wice6G9TqZQSm99uspcg10/7nVV6+u
bPlhDKPjPVxYGNEmeMR5GLxtZcrqFXtF+PxxCccaXPE5JbqvXG/2dVb+Gtpw8Uc2tL0/rtCyD+wb
6gkAXwr8zW6FzT5TenAgV5yM4VeZywXTO6C9M8QhXAHrLUE2Z7xHKsrBw3fKyRY8OHg31q/4fZtD
bVUQZ+zelhcTFSNBpGLA9N8SlbVJauLQMvD72MVLIGYLUwScVNY40Kfn/DoCuNEPRH2NHIr7QQgu
MI2AJJa0eGwx9JnyMugdvzVoJ33DgMoAY0x+yFhm3nmp8ehtug9ma4lvHXOlBoHR751WGXfJBz5L
a1jREmq+eIGA/HYAKSQguhGWYBEAERjsmhrMSym/rzE10bhbSJ1UW4zd3GF6w2Zwsxg8sXKdldvD
3E7IAhJImfFMeqPB2u3hI4zLLVLI5jlpMTG4kdw8IprCQ9QBEBcM6S4dAX4cQTgMDxUXOspeldav
qQjrg0ebv0e3Ce5+hYmTVIMczlVJszy2sOLMw9TziDQWfuEpXbMMNQ+ZVZDpmryEAlfHKSodYB5G
kcPNz0MS7BNBVFpv6pCOhpGzlMUrXzCGZrqV4CcNmnaTCxwCGqe1aUk8EAid8GMVUl7qHhgTjIWR
HWqDU3qTi5LrRbYdMOCVOTziBrY3OZvQm3gly+c5PS9jA8LWtoO3XjkYA8uZlX7Dj9dpX96jlAVi
rCyubjJiLiz/vWeskjK5MllnHdi4otD7uOZNne2LLzp+Z4yB6/XfO7a86eMBWhziCX5Psb5GhlHW
HUIFyr2dIGov2zRt5waZMtbr0ZvBQFW16z1rxspM/fFIS1oZ5wGwQC4lK3Sb/pi4LdKsmmlds62k
Ju9Mm7sry1K6437k8BpQ4z/uuHxwzeexAKvlT7XVqN3HkxU4srT3o3LrZxnjDnseI7jjL9ZHXkJm
rk8pOYCrNFVnvXkrTjnpiUGVqtcByBfvSIW9Y1NV68ugFuvLOYx4AnsZuXjjYvEgy6gfet8t3YrI
L6UKqZCnqfnA48fIx4AsT0qITYSlVJIrsXhXedF2pEc54UTsAaOr7H5JMvTrcea4Pu7S6JlXKYC7
zso5RYXgrkn7iWct9ySOGB4x5FiOupX4LOns97LIn8tINicvnHoxbmYWTNQhRnPRTfdYeuuLCPZC
diEbo8Ki37t3snBEyL07GLumhohSS9ndWIL8BgwiETiaSD3F0GiyDXS9z3WnbzW9rM8t1gy/6Rxf
OAn3wKbPZa6Nh66bj63qKwgOHtOGNXSj9NHRvyCS3lUMvHaa7Xh3lTlskhzshG5a4mW2s0pbswdy
Ozwiosh5qiI3MUzbJtdNoGypBApaNPQLsI2WxTREEjPxEfDnB4n6TbHoqwBKmKmxSwt9wO8TLzvU
pCOWZZXiKHfGeQDzwTBsN9uYUQ8el2XjRxiNSKpzlEdkl7nculPnnNrE4zVHYuEqm6yguYzyCaFt
ea2xcLyNl9Q9OXrI1SvJn7CVi5TDTSrU+dUEijV1+iv8vOLaIe6F7DPNmt4IUUqeZid/Al5WZ+cM
Lv19nYIP0bp2dH1zabydOxgDoXiN9wW/B4OV0cN8zUW2raEpBG4zN5ASEu8ghnpg/91hvHcrJACm
iTmkB6937TYqma85XvZ70rnFbiHamPd4LMhkGZ+8lZKUxhhInHD8TF4pwR6J8yWqp/lBWXMRSLzU
OyN1SNrorOa+FRxWkDr21pry6Sv6oouG2pxtfNteu7Fa7vNltvzS6fMdIQTmPvQGps5ebG6jur3U
Xs+MvrGpjLZtXpfXwOd4ROFZJvxGVduIuuHU54086YiuD5ZXtsfU681zaQB74qAV24Hx+yPAhBKD
Vu1uNTz+2A1tja1Qnt6ZyH5Bjp+0JZW3vATQq5q49eAP2scMVfl9hIXYKIzioNMR7t31DWHM0Gam
CDCLlXLCgNdory2rp4AJj4dQxLrvY5Ay5AKIh7RJ3HM5Z90TaiXtPOcVe3ONfEKFsbaxv3RDxhA2
1HVGmlNR45ntyk8J5TvlXY8zh+tbTy96E7oHwBHajUDWD2lQOkHqmiQyYwUnhiNHj+E4b1qaf5q0
Os2Yk2Zr7kvT7jSISUC6nBF5xNL1exGmyreIkfV5+EfBwnIEHpPqjkNhvVdQ9LZ6J4mFqES2Pq3k
cUZQ8xY2GOiCsGynT+RjwIfXGirBWBTBTEzitmNPdAlrnig8+Zt8y4SeVOJYdw6iRUgGBWUOWp2B
oTUCvjgjrmAQXhlErPY8SNyGY9dZ4gH0RCa3kZU1eBscbLnJQxxKFHQyyVeJ19IO0TsP/2inEr0O
FldWyJwGzPiRCunyS2Ik9h3JqDyYmtg+uGk/PmsM1Vxee1CIUZpKFWDJpANR9ZahRXkdt9wXMXKm
Z9AB2XGxMcgAeEh3uDmWba8E/zNx2L/rmXgao8nlEgdJaWon/DAUfjxICW/4CpktOkd1fqOGrn1Z
qT1XiFCu7bSA6UI18Jj3uvgE4cVuNjApwu6U1vUMz8OuenHMU4hSJ62Wiw7tx0i8HaOmvh63CSlU
wwajuhHehh0pS37F9mzDlqF0X8M646EeJslYzTy+Z+FhQEA/wqA1ScrF8vUMSBYxshg4ItApojde
EQbx1l3RWDYgDdeIdqRvWjmekYb/nxn7IgNh5fATBxSOzdbqqUERTFGAF2NLIWIPJu+muK6y+STk
Mj3MuLov1KIk19QjZTlrgOqHPvd/nWAZa2/8M0qWWZi1qkJt28V7xxTrl955EBXZo7U6VDZiFd58
lII9MURj40w8pI22eEQQ6JrHueQtGkzMsdLTYOrDQ28OXoscf/SeUXJQvLPJpJyXHVX1R7ZBZC5U
E3FEjGQWkvGDq4TWs/DIJg00PK68KZ1mwsHMnOL9R43MZH966Je1KSlm9HYqjDGFD8ky3a2vlbd4
5SwXS+uicIZBQkH20wDkHwz09F/XshwOh+QJG7olE42/C2tQUqtjYr+0vaEsToleLpA63X6tvIqJ
b891SC6Y7g7aY6Ev9HJTrvhac9wvj5Nnc7QiY4VvWwt5vElm8q8cLP45oaKMIKBR4Ro6OsPNiFkd
bclIwPehxNyR+7EDhmgbAdQ4/AjfASRKL4mWlrG+S33y/te/7Grn/OXcW2QXWg64QyEc6az//acd
9OBFsWawAYIgNKCJ9OapbyGwpWzbGsvDOcRoD4ne1NZvsFLmh7pjwvCRzxWXU/OQF/U/Ofyrx/OX
b4SC1jBBUJuOIXl5/vkbaRbOjJ63PU5+WK1YKsHOdgySnlsGMxwECMAcOR2iuwmJ+VgNdAUFVsRs
LxtepH7bVmvnRDvy14dqlWv8+S4BiQRXnDmT7jBt+kXOwYI3Q58YJ4ewxG4f5GVJgtBiLn37yZwX
KOpm7lG0lwWrHnsDBOufcff/wbmCaSlxLyMXMPgW6yT6p3M1KluWi95FB2vyXNgJRRvFQe/JUL+R
jIMjerKw2sdGrCKIgeFSMPRtw5uo6OTFFb28YQFM8/VvHxZWijho6W7RMfx6ARVGH5ZoU6NDoa1h
0hNF8nZNp/VoXEiM6ZAi50GfwxoOtCGqXv/6b/81H2A9GPz1BBvC0hUcnF+m78XspH0xLByTmaiH
A16QmZ1RW7t5wglRs4VNxBhd45I6oXaUa5f6I1BwMOtKvzXteUgBPAOBVYduHTRVNbP87x8pXWOx
5ml9fOH/rIL+qd4LgexP5/Z/mUQHb+mvXFfj44O/z6E9Jsq8rNaX1Ipp1SUipd8d5R9mCROvhCBz
4xfJF2siZKosarCWC0v8zHW1flv5qyyKBIk56yX078yhTefPIqlVnmQajs0TQmcnZH7ssX6+R1lg
Vq09Ofp5EZYZLfu4jeYOzYsuNvncXmsd/OsqBwuyGVyLVHaG5Msr0zMbRUgsDy0A4nPIDH0711q+
i+a6ZP+/tNdlVBww+/UnEnedwMw8+6rsC+0RujeioSJCdBC7q4I/tx8Heo6nxMUpyyAZrYOs6nKT
tyifbdT1tHAkEOuMZAsgZKGBI83DCclnwNBEhzRW17aRNyfdw82r6vB+XOrbqS2D9Wm92jHkoW4r
Y+PaaGKczD5Jky14n3qBiur3nkFt0CdV6+dDk/iNUczXYRPhKO9EQMfF6gc8Ghmh2pbSSu6YQi17
qwQgVkT6Xius4sWbh2TbVmkcgLPdZlNz26SzueW53701escs1MkZRVh4Q43c5u/PkUBzpEx6Atc7
zG0fP4CtLINcyoUhqu75YzmvsulqIMQ+uW1mT6D5SZdtXsO/oAajcBGVgXTVMpjvIhof837aDPj8
TnRj10pS+1GXPngiJ0UXW76XE0purhqUTMe+gczIR68vYJwICp+E3bWan61umP0BIf0WBXMXdKij
AwK2I7+xNJuVe/8lbxFYTRMKp0LGV1UTz76Bc6JcnB3xoNUOwmcRYPsHJMZrfFNb9sEDENkhSPHd
VEe0tITa82wwYKCltJAzI+42eqgtugmeTBvy+ajzeL5gFl6OrXSHAF8ezs1JWpjRNfqGSZhB4YFj
tNxoP/U2NgpmSVtPJp+rqTKvaog3DBXgXFlGHfR4WsHrRXtl9OS+1bQtWUa4XVJfytZ+dqflnOij
s4mQv++0grZWikXtnSp/Wwj/SOrO3Cdl2DD5HostMgftVOveN5OpbdANnhVwTayigo09ckm4TXSP
1xt5SIRxjeYHWGzUMe6Qi2+2mdjIzjrWeiI/z+Yi0Ti0V5OWfllmc9pOyq22Scze1SoYmi4LlB08
GzC4iqQOnKiCwb4g6TdJFfWZXtZBKptPWtshfnOmEJ9vCwcFrP8eEYm5LQ3P3NlJ3uxCI3lqEHJe
F4KQPMP9EnmtIALEqX2rsrULTHjMsODqzcDJ4vghHyCyEtkmGDuoeQ8uobmIAhySdLz0YUEZGLTt
ct3iP9zhORm3KMDt3ULjE1jwMLbFhG2/0zWBQb8Barmk+ZbyUq2UWx3eioG4xknso6SNhfPsDgc2
NsfOGvQrWpM+0BjKP0HZ5yi6wN90xhu+HXkjkL28xj1VUjJZiXgC6yA2nSZt7tx62XWqcnyvx1eE
ZL54TAFA3oV0UyfJOMTa0Ewo9hdaqsBSQ5tl1mGDfy7SrTG36Y6v2p8dRIT8Qe1MSna2B0R0w/Dn
S4x4A1o83eBQOxFkhkELnIXjWbHJODgqgwBliO9TqEgvGsmOIduBkY3dPcK7OfKyt08u5trVFPlg
h0m9ZcNTQmGaIOgT9xSYJsZUvfa+4st4iFlpsR24y3rgvYIcnP0ca99yc5l3WYObpHPO8cifb51i
P9rzOp8oip1DhgxAOszfc0jdrQj8wOsfv9Ul5oXIZYqMbOvgrHFHWcqqfHT7zgdbMm/1uIQDUdRc
UpHdXM+6s+tz/c2rDdCwcWLgZ22tx1BXkZ87Hjp9Da2PTDAw1N+GlhGds+BitpoEcVOGCQljECmg
mT5s05lFx9ylVYBSxj0o0Fhlpn+27facRCY4YWt6dkfCGEFBdz4JnzaEj7i4eN7wQrLxGFSV8w1/
O2r+EMnjGGUXXfZXjtk1N5Wrn+ISVaVVlhl7HWLURHOXqbAIQkO5fljX35sGlGHsgUK1lr7cm2aP
Ccqak20NEPrMJgqKz9S4yFRxmWQJ1GFDffZm17vM5nwos0JeLTbCnEGf613nZsx4XP7GYlkuDIvj
O0C20Bx5CU1aOBGkiraJzIps1/QW+ZO59bhuwwK7q+OruW6PUVNXGyx/Gr4pOFRIn0Sg8tp+zdLp
0xj2/cGZ4dH1Ouu1KFO7Xu/G/VRM2o61EcOVfPBIwxzuROQAczTN9YuDra3b0O8sLIk5rBSAe1tY
grupjscND7TsKJX2AmY22dTY0wxMSjwL+/7oDgvxA3HcEGYW2geev/EJHCIKW42nHKAL9KGANMgz
1fEoLoa1ixg3gZiqcMmbldxHTvIyDrGF0NK9zF171ab1CqmNvhta5ZyyIgvXUdOyMStb7oh4cbfS
zMXJrVinlQApMWiV4Q5KQRkAqluM4ktGI9o9EZ8YIuJk4EYOyWECq2lW2DBqtxyfOzo+cLAJMs+E
tBquvtwFVNl4MIcdxaaDmwzJsdUahxoT90DUSUXYxJPRUxgjnJznpgUNY7UlT+8UyWc1kmZKIJX1
YJg54x8ycKdiKU6NMbSO5yelizhlUyRZrCmiYKtmaZr/CD3+NTuFSYzAX5XXt2n2xkb87U86qx8f
+qO0Nn9DkIERVEcXhaHXo1z/W2m9SrBs20H78SGY4j/9IfFYdVZrq/473ul/5B1YLKArUbwjG8FT
8e+U1Wyd/tx8I/SiQtc9j0mFjtTg1yzShndoMdmyPpmdNgUG6NiOUSCS8c69t1ShyqPlke+8IWR3
Qf/UkEPyxIKIHADH1pkaTFqDctnPcy8O91qvsWzBppddobSNk7vOLjD7kiT8ai12cVI8d666MdED
b40IYlkc58RNhwgHUw/j1pAU56SqNTQdqiqv2dBUxJrM3MbjMvjRonS41mwJvdchngHiYm9mmtLV
s/1pGCfWOTPRE8zFY0WxVKITMxBXAQaJKjd+G1YAQf/BIiibMo121cp9OjPAVV2007JckHpCvKaa
2HkwYhxvMkVX5OxQcC7VTQmwizfW1DaO7xQzUSUHVM5GM23BeAq8BQVCNtym+Mw83cLSybbpxtUB
D4zUshzPehPPec8oNLQ8QSk/ENbtS7J3xNdxzNpx2aaKqDsiCJC9MxUuePCAOu5Bo0Jc6pnlbwA3
wL6bOl4W2Ua5S20izk8qc/FTe4iYJzdRpSsnBd/Zl0vyztJhbq3U7/KIDOQhwgCwcXRziPZ6OoXN
jZN32lHAzr0jZyrcLOBxNyPOAtjeqjgqTRv2kVXp1Ch2z0aqhYM/yGK8lxnwc9ur5jd8xEjykVz4
czqrIIaqsBvcPD1jgTT2ZWvmYGEZ36fFUHebuijtDbSe9cE+AWgAaJvnRRkgNoluLd0Dd62yKbDN
KA3MzjIoTqLyANs8vG/yMX8JC60DhERA9mbRhuo2S+wnAIvRvcHS5Q6UonNPQzC8qtydAuhfoHAr
Nd1zPZRsRsv4mQI4vMv0csYFWWkEavXw3EP2WQFQQ+fG89LwWVWTcZiUrd1qzFyoYBrN2w1OY5xD
O8wI8dDihRKT1umZra21QTNgP9W2LB7Z3gNQZ/gasV5KoFP6rCmdyS+ZYh0LSlt4Th3MaNA/3XGc
wPONWRo9G1VpXHkL/lGoXNZ4YTRDM+lWpFfQojTZdzmadrYxnIVtHdvTgpynkqR1pJt3xHo5x2a0
Lgka+DbpTQNz7+ScJRKUaJPES0aIY9MPt2h99CvoGuXBNNledMnMue6ztrlXmV08NzAG9wPkzC+j
rl5kDb+py1z3xJnOt3MFYXluK2hmqJjuQ7tVJ+ikzSWSxvKpZ2sNBHec9K9J2YgrbSnYotW14ZzG
bPJ2ZlJ9wzgTHqQl6i1OZkbTgBgfvdTtPwk7yV7mdIlfjLGLV7qBm77UaDtx5nOH2VrX7Jmu6lvP
GbtdXOG4LzGC5y51LwseODVeYZ3GCcYoQ22UL6i6PQ1MDy/MxUKsuWHmEd8VBHjhA6imhqz51OAq
ZvKtYMdlm7jT2gBI/Lwtxx5iTohbmePS4a/NVkS9oCFux1MpvCLAlas/m45m3HZa8xQvzWNSac77
ZEFroNwcBIPzkYQbX68WWsMmMa9y1CJn0dHx20kbBk4cHT2zda7nsam5Nfr2ccGiHKD0KL/avQBY
Oi7lHaXe8qVm9lpvpAbH38vHCjd6ZD4RWw77sYZjSytdA9BcvOiacU7/2oG5LHAB+yjUYAin9Oh+
MjWnnjjxN2rG+FsG3d5vh/qs96SGWPY4BWro8feyCTgYmsO+aRrH+fyRUmtC5YTGTH/EHWcqcSPR
oOyaUmpsloRb3qdoztjrdJINxLqUH9oY3RBSKdQaCq7PdNBVNz2U4zqnT6PReBw64uvSMWdb0cer
aOIjtBn3y/xgaiH7RnZ5bz1quivPDtl5zN2q+cPcPN1FxPcgWHMVHoPRZL28SjNIk2tvHBaa8ybq
wVxJgxUce008KrnLDrKa0QFqMGhuQNukXKJW6Xdi+golvXiQdCVH4uxbnx/KmilBuc5e1NuzFJzO
WqeDVXcr96tZNtb3UjPfoQ3qZ4lZAh9znc/EIlOiM0rnJscCjB/dvfaMND1j07WTTbJ8VQLjYC2y
EuHd9FSK5hHGDeMF2Sifvh+CFb3sLsaUtxfx4t3Xsim3mq3jkTbbsT1EGhD5dIhgsMYhvU8jEf9a
tPmsxHbc718TWu+HWm9HX8HfvkSO5Amimuo0JrSyTRNa2bVVYkSy2mK4LkmdP8AnJI/Dzu1ub6I1
uOfKzYNCeONdzKbovZ7obDc62XmUPab7HNmheeIb4iDCG++XFsMhOjMrv8tDDaC7PpdHWXS6L1ox
BSB147PW4E23i6Lcd/3UB2Y/da/4xMHkuWWB2Tz93LXyS1KD8V94PZ4JD4n6jd2O6s50a/qWtoSw
mCvdn42p/S6NId32cu4fEwzt2w/1Sxm56c5EZ0LakRY+UkC3N7Zwuv3oMUmZWyAIuIUMuU0Wb82+
0ZlqAVrVjiPihBgIv1WQECPM7DNkvX4XjW76TpiQ3BIQwXl13c/Kzb41adweYXatIo8Ul47Fv4WW
421mADAHnJriKFhCBShT9R26L3mGN5B89RIXdlemtH1nFRjd2zC7T7rMYNOfxLuqS2pCjCII/xgO
D4ZZroxDKi+Nhnyf6mq4igkO5D6amAB1UtMCwf7bn6py2BpOW3ztrDEmhwYRS4+To5+VfRgHg4AN
63oxx+pQmHmKGMPTd6W0vtaiuu9hNG4KpjM+4JI9j2gNyIr2ScaQHJWiDYuBbW7sDBxBKsobp2ru
HUEEQlsDk8rhwGARD4QqHlwcIyc2tNGugOeyqZn8buy4QOum1KldsmgXmtm1kWvag9dO4z6ze+9g
zgnreiO/19LijvW22nU5ARULMHrfzuZ7b+hlkMZptm87WOHdUhWBGZW0jarHATMYsMQ1x7jVOvQl
PNudC3l78QGsLtIaS36rQ1vb0i7nmxjlwQZRqMWLLIV0zgblfmTQ/TXOZ7bmGpcfrPiDPQ3Fva0B
eiASUG0GqweJ5VX9ccobDw9sROcbL+4phxWbxdZn4JdP/1lV/EuieQeXyV/1Ug+qfP/2X8c2eyve
/9RP/fjgH5J5+ZtcuyWCUj1E6R8W9N/7KUf+Bn7RZLLj/ALA1X/jEzhS1k08ThcdmfvvHZXJj0Nn
tSrlqZj+nW4KAcSfuyl8zrjihcnIkoUFu49fVqw1SOQm98Bcatyqm2RWJWUOzwY0Uh7yEt36NObD
cA2aD4VMX33KImstwJ0bvewziv1FpUFF0cxdkRfM1sSzFYqIN1lGtFhpjmSd02IdG3Qyvjlrzo41
94jw2bmpsoFghEmSiDk2b56RX9sj96I2IteswqBj54xKkEBF6Ifuhpbsey/6+L/ZO5PmuI10a/+V
G98eDiRmLO6m5oFjcRClDYJNS5inRAJI4Nd/D+i2Q6J9peh996ZtdVPFQqGQ73DOc26YlWFC8xsW
GlXN0NKAYK3hSa9IWj/XoXnniY5RoxxfMdHplZsziXGmnKYr/dYVWb4p7XjaokS68W29H9myo1uu
voV5dT2K4RJpF8haStyWlV/DfLlzsunMZIhOJTPQCKavU6PqTd3Oby7PlmIQb7XvvbRTt+MhWKwl
4SCfotY5kJfG6pf4q23dAS+sSPMRyn7Jh+LVR/uxM+PxYsr8erkCquyDDQ61b1mzqHNZTOzsArQ+
GkS0YstYahiHx9geL0vruw4YOR9lEb4B4gv3InEO6CLPOcbJ41yw9jbGjgtjmhDt05O1qCF1rh89
ipaxcV4SOz/FuniVbfaKduWGvAQqF8/ptg5vaHTSb4S13DkFn9Vkqx24EnRUTn5iQo7dmbAP5jrU
oqQvIIRMJKQdIjNXaAqSbZovSRXGknLfwCOPjeVaJuUrp+GIIQk9mGL9sl5eq3H4P5Bmezd25p2y
xn2fzGcRMJ43BvPc+MBShzz5ZuNK2roivc5zfbb4cA5BzYomS3mHtTM9z5Hi5FFewTySLD3yBBnP
pUG2SUJnvpKkdtLKPEunjSie9WNpuhs9VeO6SiRe1jp9rRCsbAtLvwX1fB4IHyWxQxJq1fovqTb/
FbT2bYjvee0R+jmBTp5dFLWtHh7n1j1gXGCXI+1DzPRstcTkrXOFZbTv5zOi7GQ7jnyeLB3tE16L
EBS/oqW0ShsNt/lcxeItpInAXgDEVYF4olZ7bGX/6OjiW2lm0xr2D6yvUj/akUhwTauGCqZG7O0Z
yZpAZCq+5bqLyqMTdF7qtsp2yHtuGtfxObX4Od4nIwDGuKPtvaAmnDhNuB0NoW8aCuUvWUQWCSb5
aUNhMtzbmBc2hY4jKkbK9glC6aEl7OrU1u5w7EovOOrBwEyaTAVxDk0JdrOZdiZE21OZECNjGYX9
pkT3ZRqkdyUC1CPcNXXKSk7SwWabsGztjZ/P42vk15hs6f8Lb585bfWcV9FzqencN7NDXtwKv8Ra
J9ENlNMvdE7DOtcFyxxvAkubbho1SXD2OiGV2PMoYFMU5qegVtnK89ubwkjuqhqIDMyY59qgpkQ7
SjnWu6+6mkgSqywycAi43BYeu1efwIJmDr1dyaG8oUqM7tgo4f6tuP3nzHqrRd0gJihZhA4mwVmW
2Nk+BzS/RbTqQZOuWgYjG41w9xZoRr/XFjfdlPsvvuHBPm3HYzTIb8Yoz46Xn747dP5BqLTIsr4X
pAQLFhD0B5qUZcL2UbaVZiReZiMJPs5A2gyCNoUIXd+kbns9R8L7hc7jo8FqebWQA83G4egIslP5
bb4Tn4TO2FfehGeRGKx6gyf7ZJEUD12LB/rP39dHoQ2vtPAEaZdN08Kh+eGVRt/XdhY19cFS+Wu4
GP2Xx3EGYWpNtldHKY8Yb/fz1/xxbQ9WZHnNAPSxHQgso/4HCVxsV2ESdBHuaEIuGGkPjwSWFFCV
CPoy3GK9vF9sO2fZ8XT7+Uv/TX73/tohoqdFiCWQGP14ZRGCjXM2BdWhA6CxyWgK76bIS5bHxZlI
hvxghvpt7IgfykeQhtlAfqoEZ7eSyfSWQJWJq/ncx8ig2CwcQmxk6wysJ0kVJCHx+GZGS4gki5u2
zq4rT+IKGC66jJ9NN0Fapp2bPoDKCGA83MO7bz7HdA5rJ+Dx8PN3+g+3kO0I5BnCE6ZrWR8+WKtI
w7K2HIQMFtFbtXlnhvNdOTM9+MXrfJSQLVcU7cWSLYB+Agvij1c0HEWg+R+5V0M8eoSY3E20EVuz
4CFceWG2QTx4rWJR3hfDdOcrs7xnSQR4bI6/tQPP5aVUyXIKCGHpc2xAlgvH/tEIvRuQ4XvY80Aj
m7RcxzHYqVZb+iV2rWlfxlaD+GmCiWVKAqxz/awlx35vpc4JfUbJOknhFqrSb1HKyr3Ki3fofr0n
/OZbVM/PQdzvZtVxeDf2AfXSAX8C0YHEKi5evjPLxmJt9fOdPxHmjqxZwKA0vkiX9bgvqLF+fiH/
4QnDZH9B7piBj6rmwwc204y0Duahwzzi0aCc0DzZmLR66GHtw89fiwr749MMERnnFEsgP3Q/ituk
NaVoqacK1fdwARByKutfPTDfv0kfnpg4WyyHbYWwQoClP94X8E1yVZgmvutwaHZdSrSPE81vy5Oe
rdy0VzI65ZZzCA3rZoxCYnWr4sR49VOXZf8igqxaWahaWONl9oG8bw7ZkKdTM5XXQsTfZm8EWRal
+aGwvXmVsVBkKjR3V0XqbdHkPAWKP/bYmR2dCaVHgSFoJYQNfwYhxc6SFlFjYWvte42hwbTSby6z
QiDu+fWgc6BA8bQOvIwCVYxUv8CCqood/GCqS11ZyRYl0fkXn8k/fGP5LJDAAusyYWVZP16wymog
eExldRAFjcKQEIueqp4KHi38tUi4AinlFqKW4KZ0vWYddRJWpChvVca9HOWYJ0Bx7sZoHlcK9eIG
xffLmDX2BiMuA9bBuyE8GuFA5JK0amUMGHkSNQiQN342PZvW+DZ35ooc5wdUx1RVLW9YGpr8B/N5
ohAjLCdp9nYBIrsZL7Hr9auMCTZ7Uh58nTeADDKgDJZREe4td34OGzn8sXL8P+XT//Al4cxY/iNs
Rgkf9apj3KLmGofqMCJep8RBMj3y6zhmv4qa+BefCKyrv39PFjAZjzUMvoux+sePpHXsCWVoT9CV
1VVb4SHMCqLsFHFShYLPB3c+M+WJBmmweExlGRVgXCCVpwAkxMtb1RWUpxSNxzb0ZsYRyxC5mgKy
ccAADcFtESJfSUKqfV3V9sZuurcymy+6mM6lvxzG3Gaxnb9G41KlQsrPZvO67aHc6NpaU65uB5UF
ZCa7N+/t5exoe8PGiNQFKNmMyvmJZhx2TdQrsohUctSYNd+boKgiyXJUmJWrfnxMFY1kkMc9VBVa
PXceH6WKMVo4UCvt4dHKxR2+v5NtU60J4pNRhk+sPJC8lPxJNCw3ZNMPhHjIbrt8jTrt3tT++OjF
SwPh5gbfJ1KRipZqyYyya83IdcNgqdtKw31pM/I3K7Kfr0JXv0mlNiNmBBTd6XVq07OEmlLcKZyX
LBmwhToEldcuMSvlCcLQaS7bluwhvsBKFSea4n0ZcbKk8cCNybfDG9V1IdwvSTdWp1y4DKaHjW3J
ab00RmxdwMdDxjkHVPaFcl4sxGG/OI+9f/h6U+u4LPJcVrj2xxAcRCJZi7mrPHT+9Ibe6dKZnHsD
bRZ5ldlmqb/eW+1ahWKnQiq99+98lajdNBKx1Wb8WFvagN4rQjiQAAaDtH2SwmJcilZQbUPdT4dC
dAYNWo7cKHbSLUia+A2DeHiNoSchW4tzkREXwlye5evZB/Nr8IzJ1PQ82JRbprSbNeuRfq1jMnKL
gMo6pjHkPExs1EtZTJntZ/2jwn+8QiF4IcJDoV0qroe+vzguHtu68PQ2laDM2nE+l8mIgbwkQFgY
M6KX6c3r5mYnsa74dAdoIL2bgUOEJrN/tD2MB1Tzyv/zfP2vGPhXYmAoDT9VK9x9raqFvPxapT8q
Fv74wT8nbA64RnAPPrUcSRX801+KhcD8jTwAIUL8hkBZaLb/UiwAeeSPPJzPfwod/pqx2eFvlOB0
UyLgWb7ALP6TOZv13hP9UG/4jrOgJE3LgVoICfLHZzXlZjeXjYkE0V8eTf0SvU766gKyjjQdPSee
sBElwHzajcoDG2x1Uh7ZGQhzN7dQY9ZJYdKrt50qXMYbLkrQjici9f9bw57qdvQ8HssTPSjjKy1W
cwlbbkXUUIe5aXI2s1egEjXsThhbpGUcmGzR2FPi0Jr3y86JleokT1PWJjf4YUzmz/P8FFkGJlMH
/MRWhmaTbVGWtKShSKKkTYoVtIva9F/nzPYgSwkEpquaMSjjniZk1tYjnyR3/ZASW/zVoDR6G2cj
vdb8zIs71VmPriJ0rpKyiDIe3B0nJf6Ujh2aG+N+M0b3Dn9DcR7sMLtN60RdD2OHjDnK5nVkMrxf
1WrQ24BJGDy5OBvYHEHt1mxJVob0cPii82Ab2UQmJADXfgoklxniGNa93krME9lS/bYibg6pZBtv
rZAr76SOOI1zWN4pw/Z2lGrlvTkX9V3WB/KWeGzHWrE5rU4oVJp1FszROh8Tf0edaar1EpNEBlFs
biffYzUrQRNmZEOZn6ATqau+dl46N1YPAhZXsA9kRASwBamgwYcY5Htige1nXeTWDmRYsMf3nen1
MEfRNZYNYIS2ydS1rmZCUYbu4nt1kG09L3JPTE7Nbx1F1tYpxcUf7sqwqDbdSAwNqOk7pwfBhYrV
sheHSP952bc/4UDXt0OXueuwhKbYBWrtljng4kSVe7vSxQl/S3SFzK26d9kJX8Pz+pSy3N9gYMs3
k9dPJMXH0cPUuy3Z6pwfo1muzVqodZ5n2SXqW/O2Nzp/E8FkOMYesaqZHWyJaGYH2Jv1JprrMkV9
XkeHLIzcXe+V+TcMZ28iCg0myOAqVokqxIWbnOQLrdtjR1m5wrEP+RgOKOhpy0Gj697X3G1r5uxn
GH3Jqgxab2Mk3csMrYVcZKJtE8sTK3cK+C27xF3HPbMp0YuUMW5ivOBoiY9NkbQXt2ia6wmb3MnH
wr7JjIRoN6GHdeFIwCFDy33DbUvp7U3WvpkAPvbU35vMdBDANB7y60C4OPZG5a6IBHLqeO855RSL
pyAqdLoDJjoiA3XF7DDtysYkToLL6BEA3Kwng/jVB8vK3fHBRSvsOisX87F4FlDes63pZunZk6Z/
jzU9Sj5pZy6ZOIqssHdVWGOTInR84vWH9Ab0qvUpRK1hrgoSiYe1RMMJBVPU1DTgAavsOC4MqlWB
9oZ3A9nAqfYSz+nwMKSpMz4oSI0sUOPYyOyb3DaH7HOeKzlXGwKtKur2xKVDnRoyNTdDZ2mebH0a
x59LQaXJKFWkfD5GXXJ7Mvk1t3qaRZysRKoXFew4+fEGgWgQbCkdVB4zcwmcz31djerNz0ORe5+5
RmE/rIpe1adUVTaKkirKlc1/eeTQEB3nIvZKiAmNHquc2Ky12doW5H0lEcmAcdDb907ovyf1L05q
HFWC6clfXNu/2XYe6h6A1N9tO//+wT+1hd5vrJqwmTKYceHdLhOZv7SFzm+0/YHNN8vx/yBL/Vtb
6ODNceClBICdmOP4lK9/LsOs35xgOag9G7emKcBR/Qf0KMtemqbvDmrCUjj2AVgxmOJxzRDux4M6
NNHKRlFrnB1HDPew3kqSzKR7LIs53/oNYWnmPFgXu/CGPeTxeSuGKTwGIkg2cDjGR8K4yrPdQToD
oRFQP5qkMONvqdZAJCB4gtcnWCq+xEx1HLYFBAFLVmMOdIs+vxsBdKB4jln/s1pfEU1JpHK3dDnl
Qm90clifrVNYD6oiDKhprCWiLS5vnHHoHiubXOEO2txmQjX4u2n0ACXsJwaH3+wGNZ8f9fdTOKlL
BhF1344Ef5Gf3ZeXNJv7E34R8KY+WsqVbsucAImZJ1pR6atp9PxjGRNQlmWzAngZhTvV9faaWIzZ
28RczhvpGZbGaU8Q5aA1FGhft8yEJ7OaDjOW563ZOBHCpNa9MmVwKArr0pjAlG36iWviQM5VpEv6
RpRecQC0Ik+giIIRiHYKlsSaG6beEhooV22cs+tDlIgqiuDZSpXnWTn5zncN/1TS464j0idXveM3
O22RIHfQFQhp6gLciHkxP7Ru1W7GKXkO0aM9sWD0jtrxh8+VqAlR61pQNpNdRzeNnCxzW9RJKqm6
YNqa56GK7Pmhkohm+m061oHxBtlL8BjEJW3MnF1dhuu8IphmjZsCaAa8elSEqE+xy9pVQDoaIAtk
4EjtVhL+Lq0gdd6BzoxAtrKq6AqxfN7qslIXg2mkItbCKBNF2n1nDyyJUvfKzyVpmUKn+dbIZ+b9
uGXKgu2sk98YE9E6Bl2v1jjO6j901fW/Zdb5H6pr/qJFg938ocj2o0p56LMXrbac33XbYVeni4xb
qlpm432k8nJftXXgx7dI+oZh3IURD9x578yNVCgnJmvynkaz78wHY5g8lODkkhRliE+HCtDamUz6
dAoGzauJWL0eU9zc7Q6BfQV4tDDFJwAs+n5EbFSupqyCa4EBLqvXuRHrTQq/PVobfccCDTO28Zzk
LpxUa/aRNCmv1Ne5gLqO0qL93Z3jdmY5a0WXCkELGTq+2za4bZrkOXKrvLwxsskSa4KEiCkfRm/Y
secciZpuE3Y5mNUrCmCRHOoKKxNKRTte4+iYHmSUYFBBW0OYF+GUqOZaz/7SJo61KeIyvm2Tqb31
CFncApejRU0QnRLr05jXs9kthNOWs4+0g0M6Vc2d18nqGZcKwAW/FeS7Izmh5qWLkUcry8gdDCCr
BI1vMOvolI9qX2l3A0JHYVCFAMNHjvdnmSuqCQbOQr01O3XpB7+6a4Mm3vuts0rE4N6G2RA/RgUN
clMAvcWtEM9/GG//eyD+6kDE6MwU9P8+EJ+/Sipx9b0uZDFH8zN/dq3iN4zttJe2Kf7oTf86C30b
Cb5DSCjBXO+n2nddq/vbckZZzGuQh3w8DH1WcxyR6O1ZrDj+f3IYLj3pd0ehRZAA00yIqQyEaF/N
Dz0rJWQ/g79g5x4wGCwTorcZsNi/2CwsG5jvXgWBi2BDA5OKKGfsAx8nT1E/EKQISv3QZxVc+MEM
CaXRUf2lorO7Kz2M/cVM6NemntWvPOPLtf/bi6OnZajNZfO52D+e9olXADnMsYrGTlhziMhu5PwS
vK5r5peMrvg1DssmXHVVam+6eUq/aoOnxNaTnr0ppEDV3MMEUwMrQrs12lO/pEN1QcbiPyuwF7Ef
brZdHM+kNPvRpQTPvfnuprr741L9T9WXd3Vaqe5//98/vgkM0DgimN5xIy1X+Lt9rCmdBrX+HB4A
uVhb7dTzrjSgpKX+OD21FO3rSOQA+4ySHbow3yFjCE5gWwIEUmmo77zKguTYBcHKHLDuh2EyI4rP
C7Jrh3wXgAN7LNOeUV81s143iGPb//w9/G38yE0Q+F6InSNgmvZxH9iBOuknfwwh4zbjRtJtr/Qg
p71P7fLzV/rbjH55JRikLHoh9TIr+vFiuUgv8S3zSgMmXfoNQHPKC9qTVHZ7b7oMc3/+eh++RO+3
d4jNHO+Lw022QJC//3As0VUV+mFeL07lPU+HbjX38a+IFP9w/RygqxjhA3bX9kf2QSh5XBSjEbAK
ADYRcNUaO0wPeRc8/vztvLMtPnxdXYsD1eeLZ//9oZCBhQlH7sEDG0coPn7H2UNe5H6a+OCm0gY9
LBIGL5go8ss0wEltCg9zRCaiS9Kzni5dt72X00Ky8wb4yI1Y9NcDwvxDDIP9hD9w2qfcm09DjG2F
tBSTnOk4G3GYODEvopsFKh4gqewsr/s0enN6+PmbtN9XJz+8S2aC7NsY4CxJKqH7oQuIrKhAkCT1
YUSVuyKZj7HyQgo3FmZ4nUMP98CI60LCE1/I4ty82QH+OqZGsXDHGwjk2NaBkdOybkjuZfpj5emN
G07OF3+EXk4BwUxhtB4EihhgOPCa1hK7xiNpbCGJ3cD61UJDT+LK2lQLIR0DECHH8RceZ/nBU1DU
495iy7CQ1TldkkMJwX5rx156wFIwoX2GxQ5TVuw7uw4eEVdnx8wAIVOJloqSsc1bQju1LpmYHcHl
w6eHGUVm88J+Z3pSoEpFwNwMloNkq+nXXu+Bi1cCh0uOH+lZAZMvFqp8tfDlXdw1v0/Yd1iKQp/H
om/v3cgBSZ95aKPnvGEcsxDrXQyrjzRS5Ses+fm3RiQ1Lk8znAiKJkQPd35t2uymEv3iQ37c+Asb
nwyf4phN8PLnNvRuvYWhr4J0QWqX6XhLvkT7L+yEsBbB7hsawmACiN9YiPwGtRwC3ZSq1JensmRQ
CWOhxZMSLmKm6qaOGmiUmqHDKl64/wYOYEadV8v13BC0SBm5pAR0S16AIMPCTZhvIjwyjwS1lFfO
ki9gvEcNiNKcb0RvYAKYlqrM5HxZZ0s+Aaqt4NjPjv0qcaPcwfTvqqMye1oLvwNJ4uwwkHFHLLkH
fWvbr/WShZAnFhTNRmMYra1KPlUQDdY1yXR8NJq4+CVTYSRcIUnseysi24Rn23BU8CFXkwH+GF2I
9bst+cylJ5r7SRbXaUQCEayrHHdV0W/6JdkhKRXUb9M8NRbEVDN2HMBtOn6osvg6ir0vyZIRkShl
XqIlNyKT3ifsx68WDctmlB2RY0vKhIL6uLOlFFe+7kfcZaRREARNLgWY3lWfwYJUS2oFybUJjyiS
LET5LvGu9dnAfbfPsfQw/iL7wlhSMJolDwPzqbMmdwaqHNysgZtrAHrBMYSxPA48Vo1jCvkmJmVD
dp1xdue6vlJLBofU7vSaIS8EEtf59AfvcR2mlTW3MwNCHlOdoOGdhHNMmHQexJL24dd8XTwDqEIO
0sDCer+18Bfh+yYolwVltNZmVr3JwYlfMtzkv3t+N73YgxxPZRAMx3wIwXlAFLhCtN4A782jNYLY
4dgLvl/GlGMJKaYptnGg+52ANRz6M0lsrQcf0IxL3ImzfnIG8jWBqidHM0d47xQ12QwTa2xYZele
eG11leoatLzJ6A9iBh7EqscOnpJJfAobJrNe3U97wws6zLxmTgrIMH0blBzrG7jwxSZqKArmYTJX
srYQ8OI32KQxJ4eYo2BlmX2zNYfR2vKO5cn36MdHSG0bBuYT3bbZfZrD0bm1+KLeTCTH9Js8ggbH
zL8evooMh3lYmPNhyjL5lvhQ5Lw69Z+J16muKtRrj4ZJfVHUTUL69Uh1MlDyEZpnroARZPx20Ipb
RppQ5TUBOpcidtqXLLPzTW7O4yY1qAsNt5n2RS7sIwPufNfgqXmuVVcc29Ttfp+NxMR5Du8xk7xJ
AkTma6+oo9OMLPQwTXZzYydzdPIJY9/DE8bXCGQmR3FVNdtQDrxzbJW3C+Nj4/Y2UEdFoLkDxuV2
9puow1808zNWWHSfYs9bPN02vwmsbHM/DIq3ZHgLqoF2OSYeMnO3jGbcW8GDgSzqLt03ypoPJkTs
dej30YlaxV03kReCginkafC4X4WdTN+ogYfnFELc1q6t9pSxKMNX5zrWXphlu8de6J4JRzIuEy8A
VgmrNxRnH8qyOyXuF4hz2ElQkKmL6cPxilgYXaQJ0k/6iXgxAxd7OcwBf2jrfZdZaDOoF+2zq01c
RTwUBNuIG8wazq5JyOUtcyarQ5Elu9qOEoC1/aOIFleiUilS69Hdgiq8k1EVDqs8iYe9bIYp2XP5
/fxN4pZJrmRXtgN3M9pKOIwYoVQpzY1k3c2eISoZNjt6IpoH56iT3OjR0uV8fD/e/9uw/rJhBdfy
XSX0twnucyrj9MOe1Xbff+jPjtX9zXLI3/CW/LVlzUpb+u/pbWD/5vm+A84bGQGV9ffw/5DIABe9
n2nankf1iObyT3c4FCcbqeVSTwaWhaP0P+lY/eX1f2zoeHmbltVjsuMy9lnK8e96IQI3CTti0ULP
OlVANIY64GSDfTtXUwvgw2YME32ZqgBAbr+wcnnWxWsHbsgZVlp/Y9cwiXgC2DvXj0S0legK75KF
visXDm9dAcABABIc20g9RpzCwXrq21fTbnKZbiQX+An7bfVsKbQCTTlyzgyWIX93owp+eELh7xCG
+ko0/UILtDr31W6o+lZL9/CsvNr4mmtfP3Hglfpr6NOeZ6e0c8abpPa3EjlOEOvsbDLRCvbeEFWP
qE3wC6xio0e8qXCU8JSujUfDcdnwzgkpqU3Aoe5TuK66ctFh+5atb4TUxaLIDr4UeRHAh6GD5bLU
lnVAPBhjahf9Grc5U2aW5/U2CkYc1KIlGgqKxL+ccq7OHBjssILZ2bgg919khgrJFZFDmccjsYjs
8dmymHwC8BdUmMCYmEiWzR1WUdPfQ3VxjiYF2Gce2xzhrPaemGIlWKswqcGQGFr/uelSoo59TwOR
m+XMqkpnEfzMKFxEmlSTyrptUxvknuF64lG2AXlLjbMkARRj89mJneCKrlM86tFerjIPu3iVLFzt
MGdUs3pnapJXyGFaNC5/vbILuhG5gN4728Z96qsO2ordVFDpA7pHmPVJCJ7RkC3c7rHq67OQwDzW
7/9YsIdjM90wHlghhOL/NyUlP+PaKMGvmgXwbYW4j9euKklEcAIQmW7vBVdqcJbVXRJD1XzPbwjI
S+8XzVH4TEHJ6lMGC5A0lI6A1uLyNsp+QBhEJNi8x2APxHzBYDcaWvHeUYEkyU938zmsGHOvppIg
BeIBQWRmTG2XAAYuitVKJzurfAZtbgQTv8CIZzbeskjn6pZDRIACvQqy4mjAdelOJD5vAtiVJKH6
tWfdRMOCU+8Ulp+jagYQmXGdqd+BomIyxSPNZFMvfy3R4EAZiywDnImNDn3TyjMW0LgTVPz12lve
fMBsYV5B++QKylHzJ3PL8Ocd+K6ptmHFd0yAWNgba8cATr2Kesu8C6AIXb2/ouf3EEYHA4Y+3RT3
JrG3XN9shLQ/yhzUKpunGGTaaA3znkLVeTWpwwE6EzR39kzZfG4t6jTgWloe4jRznft3HH1uMx4+
QlNEDhZ5PTj/1sL7sYrtgrc1UfldgYT0PjkKk/rz+28ZFHT5h2ICyLJm/cAvCxGKu8xAiXITSuhI
uFI7CAkdUlFSNhbQ0oNCwk97WSwfKUuV5Zpkk9ndKKhiOIxJIJhkzb+H08JB/SM7wahpvvN6iTqg
kUz3/ljwhPIzsKFgYcS0SyHIfpvnJU8h84zlnhIWDt/YNYJyX/fDWJ99Uep+nTS5Bkyaq3GjQsqT
DhXrxVxCPYZsaj7jdmDlY9a9CLhPq5KwLCdsrlRAR9K4wbRyLaMdVp3FnL4vq5igBol2GptrdM7C
KXzmw/SSzSKSueA3YZJNYH3zWTl9F+38zNK4rUMQdGNQ7maMb2tziF1qd9W9ZQaqHtReJFIUYaEf
As8o174lubEtOUreDBfgymNOwLsr89rGrOnCA1ajLOyNG1bYvrlkA3mltPqHkTCot7bJGImJqg7s
LdmaOLytLneOMQnqR7taru+E9+RZ+j5PEDJ/B16wHG9H4TpbeBQW3aRC1YvJQ4SrkhHc0SYtHHVZ
kCQkKE3xfSWa6lIMtYdcNi+yeuXTzj2F70Q3yumvjl/apwhf2iEDY/Z74frvom/t72B6ZFet9NKv
Nn7fR3wr0xH2KlwDRoprljNPmNHkM719tyHrUdVYu0l/wF2OL0sbxZWgmeXPdLUzg3LaVkTXfwUh
D32MnKfujGrCXzi6/uSQShPZn+EQdGc1UjhiKPIFjSrOtNKFCuKC/qVu1IrCL41m/8qNW5Z9svyK
ljBxtnNAy7rSU0t+h9LBDUOoC2R5yHWMKlnQ5cHQiasC2Gh7T/ebHJnvMi319G4GoL7p2ry5xk5S
r3Kjj+6qgWhl8tow/xpNfxFV9WLHI94dFXZzvB/61L5q8sq0nqLGrp/HpJAPxejcJe7QXsgohwYb
d4IuVfgPlQ+pH5+/Cm5bVM1IkAq6mhjVcWyN+uxEweMcW96nnvXVvoaIIPfuWNVLyCCrksMgdbjN
7fGgG5JU+8a667q4xojeJGTkEUxNSsYMRCQikPW+S+p6qy2ffWEmBaJOW4JQHACnbYvRrOBRRcn4
JWp0WayF07vZziz7vjzAnSF7zxBOsaXIrteBNtWjVeXB59RiE81RCNurz5yemAijOQ6ezV1N/MkX
zfF+hmLS3yjL/DLKoL1umE6rlRh144F7idRVR0LjZmAo+TChfD5POhP3ufDUtwESxpcpjOv2VSuz
GO5BtEVwYqG7HeMir9ZNK1+saY7uk0REmxzB8IpSUF8NCvFUwaZqAOl06jvbuJVSeVuCJGImDn75
FfmzvmrnlKB6d7LugawPn4PUizZxSUBn2ITuLbMB/PZ5BaIL5Jzf3PhGlF+T1WFVGxRBxr2T1+7G
d/pxy+XyV4Pj6VPTldUXJtDOGlfKU9Q35ik35bPiSNyCKHchiZifBbC7bMy6K2NynZdxjG3W0Pkk
1yLqxDYykuTcxbRwNsOH696Xh6Bn5JP7Fup9U9Be+3WjnasxUQ7vMKC/Swgw28SN1SsOP4PwIG4V
E1ZPOQZ4kgrxKcocCIeFVyI2pUlnhETvTeDuRjQD94HVOPBDaOtiO4zmDX0sTg+PI3yH2sEkycBq
7Psgdry7IJTqoZYOMW6ywlVFxgsSqlnD+lKQEGTurpo+fvLMllU5qBrQERoaO0ONXajK8iHNYFGs
MsqPnQVAEh9akeGyNLWx6pXntqupS5I7nIYkLtjm9GhKOZynzjY/IfbhAQW25pon0ECGAuiJjSrD
e1uZw76p+oR/tZzmbJdze0ncshjWU9WNW2Q6KZORsRan3sn6+zT1aOQi7xgg+r6CVzQ9EXyEzNwt
++ekTxiYlExDXAG4J9ZD/DQ0IaKETiOCaDv75DWlPmgzxp2PA2vHtJHPQbGBJg6lxB+0Dvwey9KU
Jy7fhFKhtNIkB6N25HQskKmvWr8s9s0IBqIJeeMD9JSHKKv9XafbKGPAIsZDQODWBpIByKGIdE0t
BVhxCI8rdJCIJKe4O2MsdRjQJFN/1tKpdxCmtb3jZ/S1X0LNWPs8b37P2t77xqhzxPbqufMhCVXx
1vg+mTMyjLbFUlqRhUfq5DAxOwIFScboElqcGi04ympI10Ef9NdjI6xNRHDBGj3AAHHSt86Avoeb
mZQw+4nzDYNShcFuWCNlLO8yldok+Lj1BWNo7F0KGEiENBihXKG2pyyoRudfOY66eBdCteALZFIL
5p7ISf/SD/FQ/H/2zmy5UWQJw6/SMfdSIHYuZiKO7W7vS9ue8XTfKLDECCTEjiT09OcrEG6B5aUb
RYzjxOHONk6qkiKrMvPPP1cX9L9MPxcQta4Op6k5/JpyDLiEgy7C8hbK5G9jvoDkaK0QvB2q1rcJ
cNXb9ZBqDULh7pd4lhcXWqppV3HgQk5nxXHvKA+1/EwJ/ex8NYiLYzPwVjcDLUvv3eX8LF7G55G5
Xh3FlhzTTDRMRzrW8niRxckZaerhcTIx/+KgtvxCSOYI7iL1KyErnz6ui9kMaCc1av4ZhF5U4XrW
GvKHpZpE00NyBeGUOlF9fZsrUvS4ms196DMs2V8cRHTsOVCCHIUow/XFLE9681GxWKU3PatYX/cI
71PlHnla/mhmEQHpIpgZB4mXq0P5GNis0jsdrijpchXjNhz4DxHdatzzwI+N4YUSSHa2tKLLFaCC
A+qN4/wUlu+hKBUt6NQ8m7rGrQWenu6HtE2hGh0YaDC8CSPYpjSQEAnFW1q0fFiLfiuqkpgT44aK
sfiG3e80q3qzbHnyO7KE7TwUOShNB3llAlmivLBdWjjjsETgWQpPNAKAOB3elGNiDvpiUkVXXiyC
aedzyweBmGZHAMolt7ORZsJhPvZ5kO8SjsdPnYPpD2LOarwG0ShJNOWbwBivH6wxuBUY4SeeTm7P
tAB1qxDFgYJu+v9RrxgYdCgPoYyP5Ht9Sd2IB4c/Rwk/OQnhfqPUPTM4D/aWc07wr+t40K7Iscgk
q7JEfSx88wDOW8nF5VTrgT5KYAAbREiny1auXhqzmLZr0xQPijw4k1+oBRXyE0H7LyVBjg8QTAyf
FPRq8Ea2rp3shNFBI60OTR4wAhWwXVMbULvmBRio5MRIEvV0qRB+0DxXvl8XtP6zksGbadx2HhJe
bSj5NBnAgESNWLtKzHeB/2hSGp4EUJNcZC7+GtTCLINeBmUnnBEjUOyqekWJag4rBEn0YXEIIt2d
X061Ke2gylYRBLjV5HqeiFaIPZ0eXAmkKH8tXHpkLWYhK0ldB0PO6nM9HUt07bGI4tB99E7WRX/E
eEWzDi/P8S2iqWZTuL7M7lLYNFLqKQf0wzkMdGpgvtPsFEof6qTx0idDjcZrykT0a2KbuJ8bCq24
/CIdYyeCf8z1IrhTIMGBXypOuZ8MdvRNmkOTRLtooMViw5Twqonwfl0Dr06/WFO8xWNzQjvEghuT
azWM6GaVuAPKT9KBSRM+EQApG339P7z5HrIWyFVk8rQv43EeCqDkwaSBx6n+ZxPdLHnjNRjbdYkX
iJNAsr7Gpg4G9BemtkR5AqD+gKZKpCIUqu8NSOXLuGeNTZX61AIaAn4G8wonxp/qbNqy4JgWOF9g
agHioUJ5p4hvbyu0CS3jwNOG8fIqn48nqX/k+o9b2tixRYik9lbS+9kDWrYzWSn+PFrxAHOqQ9YI
iNKyvcWVZx26bzUbKQ1B41kgPQR9DRgCuuwRqW1OpiD55tM1dcBn7xeSOFgQGZH04oCS/FmsfU+n
q4k5csOhmUkkYyEoX7Pba4UXnEmKRO/DcVghErGwLiWrxzDLS8eUzueOZ8IOPb/IEzXF7ZF06M79
1JoOk3tzSv6K7Skc3hdx9mUqe9pZmk2hoKEe3gN6OIyD7FCG3+TAVBIyFPJCh0wFhknFwgPw57E7
u+MIM1kkZMSDhREeMQhycJ5egOsIcvkswfD/Waz8/NwfxjnoXE4xSyhAPQg1zw2AoEfaSl9fmQPg
/d9JU9L8sjeZE+jJ5ATaLk1VrtWeEa3Pp5nl9u6WBIHU4LOymFANEYlUUrYaHht+4qXH/1tWY5Pd
ETmLz6U1+Jo7SXHr0NUue+oPLP5awqTuw1+7qYaO7xb0yXmPHQKJzpfTMEPlmMoBvybCtzNKpsfO
778pJoaDnJ84TJQXBw2f1g2bP/eA9vUB95mkObbf8u5RVzp6fWbvuacx9BEtJTKh/4kXBtsWFdv0
vsm3JGxN3uprnFtE94xq8sxxe/IWLTwGYurEF8ureuDWAnlpCexZB/aY7eTIg47fG2UNHZAjxTp3
WwJWXxEHdk2hrby4OLtta4EChb6uaaDmQLOJiyXCAz+QFggAkufrpgSjT6JRJ0NjVUuh/R0MrD4t
+AQQtqq7rx74gZQAWl/kKDtpQaWtOuRsBlCtF5YC1a8kXA1OCB9tEQxoqMMpqtP8ZbNPfzGNs0+1
CMRS3/4UTFECZCh4nJsb/i2j+KJBwBMWuOZOWlAlSAQpwSIdX60C1npDCxasgCYwFdIg1fXR1gLx
Dr2yUpU7/7Rd/cTOqCo0aYITUVAp1rPc1gJxrf4T9l0o/APZAlJ73ecvM38iR+Seq4+htTkaWh/X
BRIHmqGVV3UU+UBaUACudd4ctT6AaotwS7X3SZiY7VVg6n1qFmSxNTztGx9rLcABInc+JXJEkAG7
AMapZtnSAowxQHI2qJoP9i1gptTOtsDoQ/ksMO/gYMSFQ7u9CipboGN7S+jRBzwigYYSCKVu+wKb
vwJEXSH2UF1NLZgwWVA5y2ns53fHd5iNJ9/r0PX8cel1eU66yzl76Yb6VP787xuP43RM0QtuReNG
gXWrnv3DKfujsQGXpn/rj/VWUD5n8++bCT5/dONZ9azqX554TmIDXSVzjsdWbIZ5Zc9x3f7j2492
s7kK8R+s9I+R/P5bY5xb7/8NwenMruUInRCuImzSWS4dF8KgKdhSsdDdBc/sILXTWlI5ZKJX9c87
0YpPn8Jrqji0fVhokxZSsfI3uo6aKFKY2OOwHqUYdeXRd5ccBM4o8+g21hBOULH++ddVcuT49tJO
nFqSGDbMzntQdu3gfgr/+YRy8vljk4iH7MIeViFw78QbN1dh5Tp0VfuxE4JqbUrmVIDZ7Sr5BI17
Xi2nXN4KvY/qX/z6yzwd06CpFlPKrbzIrgM+hf2ZBnvNL7JyTTqLDsaQJTe1LBDC9Sw6KCNctsRa
Jht91wGfP7dNMEEO9iCYkeWjWVFLKt+fOITUv/h1VVyElKo8UzO8V3vYXi7plt6wHqKKeA9jvrRp
td1mx5fw17ur49JOU3vk5qmTZY01DW+Hug+VeCPXm9jN8CZEYnv4wi899oK03d+YKNYePphLLwWi
k3pR1LBNgIKFm9T1uxHSwzxpi97LwCmWb9kQ8uim1X3QV85jYrdOT1TE6nsRvbCb+xZ5KhH97aro
K2f56cSeRykEI40PE/nC09mH/DMnSZ2iliUsFTEKQXmzD+GXzsobNbYxhItg4D6EfwPyVkvajFvE
VjqLDhM4jA7tJGSnbGw7sqILuMd+HvCcJAnxgue4q/hr12tqXGW17EHsKy0jX06Jvessf504dICr
h1i+yipM2FUVN28QR3Yc91udXzqKvyvJtHYtREGntYdXWj3g+UKs2bo6jv8e7Ttp6jQs1yb01/XN
3jurplepMOg9WNw/M9vdXoibGF3X4b5CA9NRya/V63UU/WCz7wSTrPlpbqJ2XTXy4KTZp52DJ3a9
B2f4wUtHIWW0DbOyibV1HvvLIKJXVb4r0vSUnXgef6oT8rv+rRlcE3eMfMdO/vgvAAAA//8=</cx:binary>
              </cx:geoCache>
            </cx:geography>
          </cx:layoutPr>
          <cx:valueColors>
            <cx:minColor>
              <a:schemeClr val="accent6">
                <a:lumMod val="75000"/>
              </a:schemeClr>
            </cx:minColor>
            <cx:maxColor>
              <a:schemeClr val="accent6">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txData>
          <cx:v>Performance of cities by revenue</cx:v>
        </cx:txData>
      </cx:tx>
      <cx:txPr>
        <a:bodyPr spcFirstLastPara="1" vertOverflow="ellipsis" horzOverflow="overflow" wrap="square" lIns="0" tIns="0" rIns="0" bIns="0" anchor="ctr" anchorCtr="1"/>
        <a:lstStyle/>
        <a:p>
          <a:pPr algn="ctr" rtl="0">
            <a:defRPr/>
          </a:pPr>
          <a:r>
            <a:rPr lang="en-US" sz="1200" b="0" i="0" u="none" strike="noStrike" baseline="0">
              <a:solidFill>
                <a:schemeClr val="accent6">
                  <a:lumMod val="50000"/>
                </a:schemeClr>
              </a:solidFill>
              <a:latin typeface="Arial" panose="020B0604020202020204" pitchFamily="34" charset="0"/>
              <a:cs typeface="Arial" panose="020B0604020202020204" pitchFamily="34" charset="0"/>
            </a:rPr>
            <a:t>Performance of cities by revenue</a:t>
          </a:r>
        </a:p>
      </cx:txPr>
    </cx:title>
    <cx:plotArea>
      <cx:plotAreaRegion>
        <cx:series layoutId="treemap" uniqueId="{85412AA0-78D8-48B8-B80B-F135EC97F9CB}">
          <cx:tx>
            <cx:txData>
              <cx:f>_xlchart.v1.5</cx:f>
              <cx:v>Sum of Revenue</cx:v>
            </cx:txData>
          </cx:tx>
          <cx:dataPt idx="0">
            <cx:spPr>
              <a:solidFill>
                <a:srgbClr val="9ECB7F"/>
              </a:solidFill>
            </cx:spPr>
          </cx:dataPt>
          <cx:dataPt idx="1">
            <cx:spPr>
              <a:solidFill>
                <a:srgbClr val="7CB953"/>
              </a:solidFill>
            </cx:spPr>
          </cx:dataPt>
          <cx:dataPt idx="2">
            <cx:spPr>
              <a:solidFill>
                <a:srgbClr val="649B3F"/>
              </a:solidFill>
            </cx:spPr>
          </cx:dataPt>
          <cx:dataPt idx="3">
            <cx:spPr>
              <a:solidFill>
                <a:srgbClr val="B0D597"/>
              </a:solidFill>
            </cx:spPr>
          </cx:dataPt>
          <cx:dataPt idx="4">
            <cx:spPr>
              <a:solidFill>
                <a:srgbClr val="70AD47">
                  <a:lumMod val="50000"/>
                </a:srgbClr>
              </a:solidFill>
            </cx:spPr>
          </cx:dataPt>
          <cx:dataPt idx="5">
            <cx:spPr>
              <a:solidFill>
                <a:srgbClr val="70AD47">
                  <a:lumMod val="75000"/>
                </a:srgbClr>
              </a:solidFill>
            </cx:spPr>
          </cx:dataPt>
          <cx:dataLabels pos="inEnd">
            <cx:visibility seriesName="0" categoryName="1" value="0"/>
          </cx:dataLabels>
          <cx:dataId val="0"/>
          <cx:layoutPr>
            <cx:parentLabelLayout val="overlapping"/>
          </cx:layoutPr>
        </cx:series>
      </cx:plotAreaRegion>
    </cx:plotArea>
    <cx:legend pos="t" align="ctr" overlay="0"/>
  </cx:chart>
  <cx:spPr>
    <a:ln>
      <a:noFill/>
    </a:ln>
    <a:effectLst>
      <a:outerShdw blurRad="50800" dist="38100" dir="2700000" algn="tl"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2AD5FE6D-A775-40AC-B237-5C372B201EE4}">
          <cx:tx>
            <cx:txData>
              <cx:f>_xlchart.v5.9</cx:f>
              <cx:v>Sum of Revenue</cx:v>
            </cx:txData>
          </cx:tx>
          <cx:dataLabels>
            <cx:txPr>
              <a:bodyPr spcFirstLastPara="1" vertOverflow="ellipsis" horzOverflow="overflow" wrap="square" lIns="0" tIns="0" rIns="0" bIns="0" anchor="ctr" anchorCtr="1"/>
              <a:lstStyle/>
              <a:p>
                <a:pPr algn="ctr" rtl="0">
                  <a:defRPr sz="1100" baseline="0">
                    <a:latin typeface="Amasis MTPro"/>
                  </a:defRPr>
                </a:pPr>
                <a:endParaRPr lang="en-US" sz="1100" b="0" i="0" u="none" strike="noStrike" baseline="0">
                  <a:solidFill>
                    <a:sysClr val="windowText" lastClr="000000">
                      <a:lumMod val="65000"/>
                      <a:lumOff val="35000"/>
                    </a:sysClr>
                  </a:solidFill>
                  <a:latin typeface="Amasis MTPro"/>
                </a:endParaRPr>
              </a:p>
            </cx:txPr>
            <cx:visibility seriesName="0" categoryName="1" value="0"/>
            <cx:separator>
</cx:separator>
          </cx:dataLabels>
          <cx:dataId val="0"/>
          <cx:layoutPr>
            <cx:geography cultureLanguage="en-US" cultureRegion="US" attribution="Powered by Bing">
              <cx:geoCache provider="{E9337A44-BEBE-4D9F-B70C-5C5E7DAFC167}">
                <cx:binary>1HzZbtxItu2vFPx8qYo5GI2uA1wyMzVatiXLXfYLIUsqzgwyOPPrz6JSrrbSLvm60bhA6cEJcciI
Pa+9dsj/vJv+cVc83LpfprKo2n/cTb+9Srqu/sevv7Z3yUN52x6V6Z2zrf2jO7qz5a/2jz/Su4df
793tmFbxr4xQ8etdcuu6h+nV//wT3xY/2At7d9ultnrXP7j56qHti6594d53b/1ye1+m1SZtO5fe
dfS3V5cfX/3yUHVpN7+f64ffXj27/+qXXw+/5ZsVfymwqa6/x7uCHRlumOCckccf/uqXwlbx021P
yyOFO1JRYR5/1Je1L29LvH/5MP7y0br8y9Xv7ehxP7f39+6hbSHM4+fXbz7b/168O9tX3aqxGMr7
7dVNlXYP979cd7fdQ/vql7S14f6B0K5C3Fw/Sv3rc53/zz8PLkAPB1e+Msuh0n506xurhG9e0sHP
WYX7R8b4UhLxZBX63CqUyCMptM8VzLV3hb05QltYd3tvv1z9fzfHv988MMcq19/RHP/3JR38pDn0
EZNCKUPNPkgOzUHNkaKaaSroPkq+rP1kldsi/cO6Kr39cv0n7PLVu4eWgYh/Q8vsLl7Sws9ZhvlH
0khJBd8bhhxYxmdHwtdcMP/pgYN42SFc0vv/wCx/vnhgk1W4v6FNTjf/PZsIccR9QzT7Egz+QfKi
4khJw7VP5JdV93Fyen+b/Aep6+m1A0usIv0dLfFfjA5BjiisgDLxVLzNc0v45ogKX3Hpy33awv2v
q8lpUaSVTVFx/xpufL+4//vNQ6v8PePj8sNLOvi5nMXNEZdKCMnJXuvfxIdCfEjua99/zGrIaV9b
5fJhuP1PUtaX9w4ssor2N4yTN1dftPK9WvpzFhEcINhXiAT1Zxx8DYIpI0dS+kBdQn9ZdZ+x3riH
2FZfrn1vJ9+Pjy/vHdhiFepvaIv3ly9p4OdsweWRL5gx5Mn5CTvIWeqIC85WuPUnFvs6Ot4/VBX6
jIeHl7b0faN89eqBXVYB/4Z2uXn/khJ+0i7IWoxrrZjc6/3ALpTSI6V9xpg6aBFvutvkpX183xj7
tw7ssAr0N7TDvwDU/7qC/pwdhD4SlHKpfb3PVchI3+YqJXwi6Peqx79u2wR0RfefZK2v3z2wzCri
39Eyp/9FywDWcmMkV091/Vu0pTlDt2K+34v8K23vbNWm/0E5+erVQ7tAwL+BXV7e4tex8+zJnyS7
gLwkQegIrvc5DN3g17FjzBFZ0TI3T3hZfPGOfbU/oKH+elt/kdKes1jPJPn/xHH9Nf/1J0m4ue1u
t4/s4lcU2Mt3H8UF23nw6rOc90zaL2o9vf/tFRPQ8p+c5foVz9Dud3X+53sPt2332ytPqSOjOVfI
ioBwVBCUoPFhvQWYcCQpA5wwXILD8QG2K+u65LdXmgKHCw1zM58ytKKt7dfrFOQbZxJMDgWjY0Dr
/EnnvrXFDLz3pzaefv+l6su3Nq269rdXHD5V7x9bd7muCPhoFOVMK6BMhg3Ud7dXyMF4mv6fgmau
omMuH3wadb3ZslrUXhGSekiXD1L2dX4rPCfbXdXM7Sw2HZtkMoWejcjnuHKi8kLLplyfmUTO/SY3
XtWcjKYs2teFLGtvDmw+yfqzzLtsshvoqsh4GGst6IOe7NxfFcmki1vfl3V0x0veqMtYpU3Ng5Km
LbYiaunKNwkl3Vht4kK6vA7sKMvyguq5wZbjsqTzOSt5lf3htYPFO1+Z9DtKQs16piNDQEEbNEVm
JdkYgUd8rSNNy7RPVOI/RKOtsuakK0UhTgoxtE6fLG3cpWO4pDVYtoJEKYt2Ly9PgV2er681R24W
3OewFDbzfP0l436riErvM5rzPA07yyVPAmOY12Q7N42x6zYu6WKRBJ7wlrp6Owo+tyykYlEjP+tU
UrV5YG3DHb000m9w7+VNwiG/2qMk0ihBOJHoHYG1fA0X/1pHuUoauIY3XCZt7mFzSzlq9aluZdW/
mz2/F+i8/wyz79jke+uBgN5nSqUUeb6enqaaMp/0l0vpJGuCKU6aLCA2T6UNXJvGYNV+Zj1NfQrM
j74X5VFQdeADfIworYY0u4yyePCuqzybCdvovNB8W7WNhsgvL7gq7KvA1IRzDvbD8HW2scb5cwGn
JPVY4rh3rzw3YKl40bFudoUvOk6CynVKfcoliTqU2JcEPXD2dV1hhGYA0sz4/HDdup+tth737+MZ
QayCgdRF+3siIlbFwZilffqmijCZ6oIksYDbPxAbKORAbC180D7MCAm4fuhHsRxSj0wJv/d0oRse
ypEoeYvM5HWndkl1cZl61NLXPG/m/jpvCVmSAJiygFJeVsRzD4NnSQacisZaSQVt8AMDdCol2ZxX
0V1klkq6Y9vUZTRvvahszXw8+26CVV5e8lvhwaoooaRPDEGZP3DqRCdRAb9y90KNSJu7maqF5jvp
xr4V29SPhPrkemi9CVqFZuiTJfPgzHZILanHHzgCPSgNUIAh6GXXzAfGlPsHu4nNkklTd97nJHW6
9E6mLlkzTDnZBBOwfszEIsK0bGdWB5NhHLuSKUn667JW2RxWHnXVtSmT0lWbRlrHrsohrdrPL+ts
LVBfxwm6DSIEEZJqFEVwic/jpB8j35FmmT5PrnNwAtLnBMoi08ilF0yOI1prljdr0HSjXT/SOu5/
VlmUKi0UJ8r4ggvUiufb8BvWdnOr7OeqkB6KYoZysIzBMJNuluc8kiikbdy7/LbMZIUS5erSUXni
e5k35EGToHytpXRO8FaVLsVwLqa8tuUP8jQ99DG6KkmztRmGhZU6KPgTH6vaVAv/3EZMeeU269q6
6N82S5fWVTg2c4PNeboccM/OTWnnjZ8vs3c91nV02hpXZHFYLguZz8ukqbooqAxRURf2knjFlSpN
vJQh42ZCjWFeNtPqjCymwLfmaTQ2zQ/ClIJvfOYAIFt8o4wiaDtB3MuDygPPrJqhGupPWlqZybAm
/loQoqg3xoV00Ws5iuZ99ix6gXv9YzqpaeTj1jR2XDW7fuQ/DmhxmMUZ4JtBIFHKQOF94xb5lLdl
lNj6U+0QRc2Wt7kvXjOa8Pmct/0MdZhoKJYPZTLNsw76xI1NEiLhj+oqbpbIO3GlyJYPzutbdemn
akVckxjKwhznvVzNY1tu4ELzoOVwVbssXz4shcrHPCBFsaKAFNqHgWxlElzkswO088tpgu24zGZ8
tAuJO39Ty5a3O6X71Xb5FKdAbM3j8saPvXkMfDtl+AoLNIadp161gq2ulmV+O7WqauqdGRwdrgW3
S3fhXB65oChKx8rQi6NyOokF0MrHyq8i8WEgA4WTaT8GcBuaygLzvZwbDlM4tK+JRunmQivJ6YFr
8GiuYmrq4tNCy9bFwcSIrttgtJktTnnfjEgUL694mI2YRi5iFHWbCtTuwxVbR9pkLPn4kS/96oxj
L9b0x1qdo3iroZHqU5TxBU44sr5r49caiQV++vI21v7gWVBwrRTTKFySESbQdjxPRwsf+sYzqvxQ
iqrseNDZXnoPtkkaZKMkbyu6dZG26duh9WNknDqRNt7GfscGG/haj8UQdCxuzovIV9cTd4U/B+1I
1XDV+R5Jw0Yukz2HE5EkyIiI0joQEaAhgj0h8EM7JEAXp1GWd2vkD5g3vAE7p+s54Lnj03D8ssSH
ec3nKFAru8cezx2gyXouca6ipBqbVt8MfUXQFUjnGLqCYVn9VgBkiZOEjhPcdsoNx0fcPbYKnqpX
l+Z9NrLoOprU6tKsSYErT9Ka8TVFNktL6K4phrpNjxc554i6aCzXJoXOfono1LRBGL0sEjvIbD4Q
kI+yiawGC1JKDlJ1w6tysVnFbvwu4Yitro7XDXQe79fQfYxj0NAz9hYl0xriyJVrSnF1g0LjJRR9
EZ3kesk2eZvfFibT4iQdi1UPzTxadRk1E55KE76KOMelane5px3f1b4beBvOqBcQ9weiHaBMiGYo
5t4UoYKxBfDec2t1U0510dv5hsfDmqk618C1lmJJ7V1H/JxVwdzZZvmgWbXWx9KzFAaZVFnE83Yp
Fe3ineFeP94ApTqoY9QZh/fxYUE2qVLPwMXEWNRrduuRNk9SVo9Iax0QCRZMu4jgNzStFKooYwFV
dJ1OvC6URZ8hJBLDMvy218+aCvOfaimED7gAdKWZ9NHHk2+gLh0XoWbVeO+HUltkhz28ZYk/DXmI
Vj2Jqx+lhYNytC4pOIA9QVkiaNgOUArJLCBkPen3bU/hId3cdXAo1H7oR2S1sHIbjZ6d2kAVfIbC
iyGqAFmQ9KCl0U1F91ar1o+yXdQJH8kAATlcOdBYqAClh8DvpgqF6slscTNWUOVU+BViBVG0miPO
p9UQXpZSfJg5M8MVsaXFTmSeozblqlsb/5ddThj+PCdC+LUIIElQHIT5tqMCHGy9mEzz+ySZVREF
XZ/zOoxGEmWXii3Czdsmcar2A8OYyZLAuSZtzkjR80kGNdCOd+7i0hOvozLRPGxGO8V3JC3IyRj1
Qm1yXdniXmTF4q5Kq0oczVtoMb4RAyXTsvGzysg6bIAf2343jtIfLl2TRJMNVElKesGJo2ZTVc7Q
MJu63kWBnfxmyYKkGpyYwnjKBwTDsLhxLoLJk5nIdobRXlyroptFHJKJ9mN/XJsxoRHwWxR3p12i
gcxCvRTjsoAngCvWp1M+R33QtHWmdoPRMd/I0puW96OyLP3QiyKONlx0jIYz+lM7ByruWrMxKRvz
MJZFfKIZ7zaNJeNyHpmKkGM60oTtYq/1E7Ktc1uKm1kOce7dGEum6f3UTbx77bVd5V2hYuj+Xjql
3M2ih7iyQW0tTdp3ZlqK/DhKQRftFiv80gYmt5wloXZL2/ifaZn51X3CajtMG7jK3DyYvhtHEubF
2NLspIuqRvob9AGyUMdR6eXq0lDt5fnxoGrWFslD4le8g5Ynyn0nXi/cDnDphbq2Tt6BQe8U2VaV
qGt92psoTYqLSk55E2+zIe7G4WKUUZymu0iUYy+voorx5lRlIon9HXxF8Tyoh4WgrBetn44miD2h
mm6TRG7J5tMxbr0kPR7TEtUmzM0okGCHOu3l79brlWxP4RyjF4UjB2yhl30N1GWCbub+pN4UTGt8
dPuLXpoWuEcMunoXLrYVzeelbwwbzjLl6pid0MnztA7nTOa9Pp6qjJZFIMWw1kUivRTixFyiqNxO
0YzhQZjJxMj4zTzWY63fZpGXjcVO59xj9Wnez8Yf3qiMy9QEjTErJ6FdJ5P8g46jyFvOhShaaMqb
G6Ts18jaTSLPPR45XVzQtElp8TbLxsyPtmOGRBBvbUo59o6UtW5pHryCsC2JkzltNqTOM+dvqo54
svqdxazCemVWGHPTx37ThA59MDTL/D5FBQmpStYvwf4BWYKmMSumF0kL6cM6oRVXuywZV43xosvx
YdukA51T6jXli6GLfR2asbNwgKUC3jjujCvxXL0XNenkAvU1mcYPakkbYbUioSslRNPVPLQWCZP/
osW06rkSJgM55/Wegym8KvcT8dA0aGianUtTIK1w9OmsmzD1E9l7sKDom/5Dl1V9WkFfXrLY46Rf
BJ1e+5let5zC0vVyreBZWIHjVvM58qbVwZTzVsvL2cO1wpSraoaB4lGUWL8ZsYcBMx7I+CSPc5w3
n8FgJrgmp9qq61yKyPBQjAYEUFDrhEIXT94TLa3BV+rMW4WLuvlRGT28xoVPGNfIRa6/8VbmrzlJ
nXf9pGpv//gXJe+fA1PA8tea1SU2QCsvGT7nqapTd5xWfIbQDVtwIjqIGY9Tco0GPLYmkHtD2WXo
4GrovHsXn1bUzJEMaJ4Ms3pjyt5CSwMrCzzCanBsLgTNEQ0myMm8gt64lAwXCx2T5rPZa9DWiCDk
tb1MCUvRo4W1rdRIT+beX7tzsjft3j1UlBfQjxIp3thKXazCT2pO4KcxdesyiUgULs62ITq5WbxU
9N0ZJOWreveOtPRzj11CyPVbaOpavIdREYd3tV2ybn2vUG8ZF/xiC26F3npEgog8XZjUU30cr4wW
2Y5pbxHT5pGnrNsR9k0HzZrPVMUV3KeVQKwQ3g0Au29aDAfWL2TD+iGG2MdHUZE1HMpFrvuvehUn
401fxEWc7qrYh7MnDacxP8nbWdPunO99Jc1a0+njJ5WbbHDYzpTyHF+CCmCxeFanOer8QJtFkRsg
t8wfNnXjdVUakjaOsLjMEhxW3XRFDW6zAGEAygZmSvpTbeM1nHvUV1zL515l/i4HWJzmM27aYrIn
nbCkLMPCiKIcgqiNQRtSQ3s8n3RNiw+ARllclk2Pf+dHklqSkYIqajAcKS6HvItACowuw+o0ie3w
QVXRhC4gmpfV90eDVJ7tJt4wZBjfJUXvb4sSJbbcTl4VmfZUGpSq6SNRU4Z8ExfW5vnJEz+fdUXi
sl2fFOh372bR4uz7SZ0lUMcxf4yZxvoFFNZGYx4tH3ji27G7afiYjOqk24s+mbiFing9LTkkyuOx
lVu1EIos1zmxqo+CH4cywVetLr7nT/02H6EB2rNV3i5NGT4cHBzPNymoUC9IiwW8shEsr0wAymJW
5WteU4cn1EzXHnaQfQtGbU+yLFQWLtr1VeMidhpHzYLvWPbUW4S2HKxhI0UOvjSiOVrfskTvVIVd
AWJCnpeYGkDSTowpphpx7ndIlVxFM2peOyPTZDt0tqvy+pSvVAHr/RzDjayoYrzu5gJSfhwBzyLv
bIxa59JLw7OVpLQ9yt1rnUdcde8EaKw52k5R5s3JTo21LNoNqAuw/IEGCaQ+iZhTtOQohgbGXzyx
QCpVlWvZKGW0uptjjsL59prMOgsmmqck5cPZuMgy0u/ypR+9awcwDVZhqRujPiHfgqT1xnqBBjJB
VhmiuvKQ/J/GFkUKvApkbUo71p+UmZOGfhZToYpLpZp6jnaC2bbz/hhTmk3RFhWNFzJoC/DfXugX
VLsPYCTHvHtP4iaL4zCSM0+mq1ED2zT3ZkiHhn1sIx/UxLHL+6E0oceWNv+wiJ4JG/SoDhOafUot
MKXW0vS0h5eXmWHhgIueHgI9YtQ3bZ4k2duyqTMQxCGOCs6rWI/ppiiGNf+ZOV6zCdD/GrxpW65P
VI/sfZSx9ZqkxMMTczyvD0Yc7ES5Ree+zjbSIqoRyjHQYnS5dDOttxkCdY1KU653nlwWmBKZyEhM
zzACeOTD13TqxaGbZsd1QJkj/ts+0fFog5FUYM/FvESGnY5NtUZ57C0rHdhi6IMPAVjWnTYLgX8L
gvnDJXjLdeeYKeHVp4WkMyhpDVzFu953bFWaLToPsqruxbt8n7DyPdHY4NQevMErmpWEbJ1yQmzK
uGxsFCSN6r3rPpU1ZO5GjEWHs5TFK4xLxIQ19FCs2+ofA86zOepIEMl+DfKarXPbTTVOq0/qaGF5
Gsikrcpym2QFonG3Vwh44DXp5ThciO8VLfWy84TxQvs/IL4OGnpwOcgP8GCG5KboN7Ry0mGGAL6a
XSfWKuxax/GEaBgt0mzjiTWCigHESxIMabPu/Qfd3fPebl1erYMTsh63x/oHja3rJ+uNrQZVtU+N
GThg7AJ9ACLp5aUOCHREE8HUEWuBssK/aqXevpqYj37e+BGg5BcfIflkbdjUkRBvtMHMChlZJatR
+zSDha1wAiZ7So4v7+U5zYejbvAfn2IoqXC+AH7Onu8lGjgDfZvF1wZTNfUplXTF422LPzrYLhbQ
+Ud6/nZBHH4EcaB8w0AumgNeMU8coUVJoqtmqlAo4hwV/1TPOdLcU2S/LCBdabt/j3dWCcHdEqkx
zGUU46iDBaciE3HVFerqKWOMybKS9rPis5S7SbT+sMvqaHHv+pHP2absqzWfc4fU4LWLQD36wY6e
ezp2hFbKNyhe2kgckz4ci82GeKOeeXNV7INqBK5DjE99HiGvp/6QwgSJ6Nf5sOEoDoAWXrJuJKt5
0y/h0KCz38mSW0mCCallDpHqGzyO+IjoZTpz9JPhuJ9n1fs0+7IQazh8pVXsH9MSAYfBeRQBAu6A
fhvnZUrdIvMTXXkul6EuS80/KQf7/shjvl0K5wJ8DJxwbhY90WFklhEr5z5W8cm+cg4SzTzEZk2J
j5elOhgF4dtxQsNgdryeYDMKieB5OFSkS6Jsqs0dycCqPnkBU/mKbBwv1+5n9IeqDEkpHNOBdgWI
+aAAcmrDjleTvslGgpj9wb72R0S+UjgoN6jA4OAO4YhEHOZ+vjNCMN7QadIeu4WRpN0yOa1D/R5/
YtfbP9qlwlw4tG0MitIEZbSg6Qo6GXe0PEfRw9GgOLR5DQLlggm08ORtGck4ticzSqy0l9GU5nSa
w4hhcvOxbZoS3YTLmKiabVn0C+tCYolqy43vJBirCz5Ry9Vbsx+L5QqYnr+JqpI20+s8TgaDozz9
oFIKaiHDEZIT4HWdlpvCy2q4yFOd1x5eS4J8X50BdH3kXPWYDfaIPX/U5piUDBkQHdZaTceBecCF
lvmA2xXroW4gFdXrS94W6+TO20OEGjNG2I3UPl3SIG+7ki5B1TpTpRtV6yLrgy/MQYPqkwRPeOAR
iGBANUK/S+OvtVA3AwgaQPRcsW3tWyxZ5gDnwxkB6Z/GYTGVLdoS0OJFVtxwoEfDL9XcGVGfZop4
a0/dDg505bxvZ8w4t7zZJHlfgr0EkaFB1gdZ0vk2Cr3exiMpg4bjVBN7axpT63EbN0rI5r2czbDY
96Dt18EQoBRh6tJ2Lbj492kN0jbewM8xld8lrqE0C0sK7PbHjA6u9c+kmkb2icpp7vxLsE9R/a4y
JsvZNqtaj6ChJGg7uhBHzDCS3lZ2hm0348QWNwfEQ4M/hEA4VPrhLOZovMhN27VLgKnumKIpNb7D
eDFNSHssSNGNnxUp8znZRAK4tQpKXZXu9woEhtcH/n5y9YRkG4yVY3Xhl0h/2a5KCsV6gNFHuAL+
eIVbc9WtuXvvGsUjqKp0kaPzcQYHS+pgcESVFMd3YquxDZbnLBhzbzDvkQutf11Xxit2ZSpjGSRx
PF7LOZXZZk7H6DgVAz9JCV9OSzcNJyAE7JV2ioWTkcmlTruCgHod3PsITn0iYmnbANGXfM5cXfwe
k9RuJkMjtHQF747RM4KZYZU892vyyeYIx2qs1YUa03qjRZLAusRzu0xPYpvZtH+zZEVHtgC33daf
CS/gsaq8S+r+mlFRnzvhxefl0HZb2YLJxXmO+GSwvdkkZvTf6TppMB6v0/u0baJNkdRxMIuq2sjI
NGf+wsrdHFUYpla1FPhqf65CkVV6N+IrT320NZ/dZPtjHB+I7huTF8f5RIslmE0md0lG7HUtQHEH
BZiONvC4jW/GafFvC6+S6Ij78v3os3RLWEfOBDFJGljP4xcCbNfOdS3+pCHT0TtwcCmO/XTc3FNM
TNAW0JpeDSxL0l09V96WtmV31Q4CfTtSwaadp/6Mt27OA1mOfhhpEyX+7+nAzHyKQX5/1zKR0a3t
6w7dQlomczDgz8Ee/E7qcuNFnjsrDab6G0G77N008BztRmnPZdvRJoz8xN6SrK0vJi3Ieavo6qGR
XEeR8TCeTUCFr4nOh1OQyN5ZmvOEbXxkv3s6jrwKlsWnCbrP2vs41s340HjeFLKULrdtm1mGwXyN
Y43L0sJzk6IuAhw8cv2mXsZ8OlN93MQBoXV6OVONRIzOJBxGXvAzHH4v6jM3NW7H6p6dy6KcAhCm
H+Q435E+ii4FRfgMbd9twNCRNIinctAbOVu+FbqrLutEuI9zPQHaEEyJ4zbocxwlyEOdxrIOvJ6L
Wwx4bcBZUR1b9NsBI2X3bqJV/q5N5i4P866Lb5pkbn53U12yoJn6KYyoq7Mgw/4wuPRBXSHwpmQJ
xeSPbw1rkyKsliG7zcp6CTArKT/g7++aoK4H+s6Aiz+tmfPD3pHoTKSVuG19NV1koM0HsPeix6JR
F0S916Cx6+ML5Xs2DQqam1vnAVNvfMCcLJBZ27xVo8p3SPRKhSZd9ElHbfIWx11wRGJM3A2zVX08
9BM9zupB3Toe3YxoN2+Wplz846YWc5A1ZfwwQyHHSaf7fgs0NV93zsgocKLB4DOPu4Akw3CqTF4f
N4BzNIh1a25M1ZnPfKr5+8xF9vOwDMtDDwffDNqy1wLz+WOCSrFppqa7BkzzAjlWw4Xn2vzTQmx1
zAsa4YATWNnLZCYCtWxCRiJZ6oNWkbk60ZhvhHVbZce57N0Njkhx7H9gZ5RUfJcp3n4EvdW8NVXi
TuhcmOuydMt53GbNdtJIuegmy/SyEqQ7c70Y31Zt5N473xd3PB+QHFgzD5diLhE8oIbeUN7155PT
42k6TtyC/vCr40iVYoMuEyc/wR6Y08Vz0UUUJe7dwvzkxsfByY/N4nfvUfDjEwSbfr1Qr8NRIJXu
ChPJCwyKKQ+70hQbf5krDn931W6JPfs2B5P9Np5s3YQ4YEF2bsyaj3XXixg96rJcOCP6c5z3ydFk
l/Z9zBdTImeX05br3D+hGJ2FQ72IN/4QcxDczrv3IoajXBezFEtqwrmc0BNsdA9m2L/IJR90tyX4
vx6KLihMHV2MXh2/BVlRXHpirj4UnbvFOzH40pR+aEsgmKzX2eVkMpxilDVNz4yt2afei/oxLJKR
vMaJmf4mZcPQHCes4CI0CdXnIrLO3xlSVuasTPx6g3GoWIIBY+ONb5ZSB9nSmSEoeVRdWg9j8/PZ
azR0rcjYuYvGDJiX0MnR8bQSTfmGT8J7pyuT1qGaXGK3iandVRanQ7nF5HROzsv/Ze9Mm+O2uSz8
i/gWuIKsmpoPXLrVLamtxZZlf0F5CwCCC7iAAPjr53ScZGy/M0nN96lKUuVYLbGbIHDvPc85kmqU
dTAPKcBCxsLgSLdl2Z98PsxGHK+lB6mLySFeQeFTGy1XZ4XWdu6qkKJyqdLesO0eQ4d2qWIT8reW
7qOvRtJld6DeWFjbECXi7Yp+dn1JJZqoGfvIrNc0Q+HEB9A5N9ua0XMaOTK0b/fYs2grvZtIYc4R
NjtyyhMM1o9T54e5FtuSmuci4KoFyMK7Yi7ngPFOVUFSuGcZAz4pI5F0j6MPg/1o0a+1FaFTRO5s
0bqhimaMw+9ph+20Bme21yMGROc2WmUFd506r4F3S/um80FW7DE+/oG4vsa4o1dX2ElHaf9mXZM2
X2uftVkXYU69jHgecqiElQl91DdJaDpxpwREzrIfMC2t9tVNQxn3HvoJNa26GWSSjg23qb1XEtPG
unXS3cQcvuU6y4mgmCy1c3hSfNZQ9UxKfRlZiMjZGq2XIC0crfqWJUtJExVjooXR10uog/nrVqA0
iWfto+M4sjBu+CYiE1Uo4UQwVpC4QXTZkorsyQfJSFGYmdzLrsJOuuILRhJIJ79gE5ryrBG602XK
p9AVjeppSEWjIzem6X0YbJl5B020ZzftlCef+LZ93HfB33GhP/JCp22JNqF/tkAkGpaz+UhweBBs
EtkMFYnut52PusscS3PYxFxUetK7LiloR132fdo/z0OX1fOc+dLkMsH+uq39l5Wz/UDHDmoYd+we
Ql1OqtAtdqp3HDbJQ7GI+JmCw5lruWFkgvWABQNSW9qv4ajVo56GJW8WSvndMg7js5mWlTfG8Y2d
MHzltAx6V5z6sZ3qaJi6g5pYCvSahE2xivFWsTS4j5RLbiMN7W/kCzTgAm1RHUVs+zQYao67i6Ku
JBSHcE2KbVoaHWbjBRieXU96tqwsFktcNSneVkm2bLoswp4BxQRXaE5LhjfXeMyKn3eGrAYG+Xg6
tpCp6hkPpS13r+YLTnkc/jJTXS1b1Be4BPaEU0ceDC2yygxavLSShx8xwHIHsC/FcSRFf6Catg9B
S+Zq6zPxSob+XdcCqOJo3A40Yu2H0UbrWKbxOH6ICZvPJoqZK9ns2rySmDGemY7wpjnBoFi6rUIT
Hr9p0ZacNxvKL0rE9KNiPHxVYWzvNgigdaqn8RRj8vqCGXakrnua02Xckuk+YyxG3YrN8boIky+J
ujbpfuivp7aLls/jlgey6TIJPREz2TE7Dekgx2qZpVsh2ewjZm7UtmEVd9hHyiyQbXrf6SX6LIRY
VRl1uIay7ajIK4XvW2GKhDUhvE5PfWYiWqOF37oZtZbi516P63uNrk1USscx+YiD185lEeR2uwlW
ldWrboMbOaXRu6v8fgj3TZlS+kC/SVPXfjZbrnE8oPM8jIYBKhpZGt9BAZtvtQebUc4cJc2dW4z+
rKLVyWrBtG4r5da5L+vq8azgoUSfZjSGgV83iD9bCWFra4Z2i8+Y9XKQR9LtKOZBX35LQGKyQ0/F
ept49G9lgHJkrTs2BWkTTD3QWbJv6cu6dN0HqjdXqSVe6o4EE7kYS8NniFR5AbgGNVyZrVZ0R4ui
6ozdb7CNm4RoUcoVKD0BQwTjJRY2DCrDrkCb70mqm1lvAPUBdmARVYnoRZuo7cBBPkxFr6pWoUib
m2sbu1XMTzJCTR0PbH8dFjOoN9EY2qVGV8EUtrQiG3ddzaHhnT8GJGqH5E1mYpaXKpxk/KkDfRkM
1RbkrmUH6E7KkXslxmwsKnTbLtGl2UW/mIriwE19LSAD5V1pAEUnvh42z3p163OGkU61GDRg+qHb
MLWKSwdaujCH2ehJvnKukpHXFo8K1Ai4hOJhLjc3jdl64KjVhpMRJuh/W6bFbWkjgBH1Q5NOkKye
GYkgYRw1eKN1qGefBKR9aI1WuA9JAOrItACCMUrfQIvj7X/rg4ISfI5LO/i60MKlr+mcRuL5+8wz
0Ne5/doV1wljFDKnb2GFvSrgkN2vcgKew51+5QkjLjsCT97xvE3hUsgPRlsRiHLIMYAL0Nmy1mY4
IrAdry9GYKCQ360oKN2FtAXxSWX4YiZ13CES4W7hyGvH9nOcm2Hr67RbjR9uY4O3t5fIqYqipQI7
EvfsOV5TLbMmA+8p4zMxZvIjcB65osZB78Cng9Z5i/04WMdaAea5j8BEoXTXBXZMX0gUUXlylCvt
vdcYZm4YSMoKZJLpbNLwwSWya7QFuFJgdjCM+d2O0i9vWNBlDGLSxgptyjCZiqShfo+TI+Sz/kXn
pnsXAFJZy2iEKa5MDJ6dBtBG/5UMClUWIHIxq2bMlkLU2wzcw5V7NEHD2zPjf4fVz4Xk2wMcSdsN
xqnybiQsrlSUmfs29L5vdNyDedoK6Kk66J7bwll6mlDC0TIetE9KN1g1HOeVAAZ0ubYDPC6b+qp3
whS21qRnZYZz1NRrvPunRQbWoUAIugYVKDpE1uo0Pc5ZsvY163P3OdiZ87oMuZ3Cp1xJldaIZBu+
zAQ6cLm0G1qDYQ82dCNzG4oG5cS83BiRqu0rD9x14oKKOhqqXQl+gH9sY8GhN2EOxiWaiqFiJBnH
JvFkuQmXkX7oti7BwJKyiI8VBooyRYdK/XLp84yYOiKpWV9BEIA+AAoKWK0CGjFtKJDCCHgOhlsX
js67L5MJdfi9g27lShsr2lCVdeeALyOIcJPCowBETfcgICJvljof0gLKTrCKI/B/3BjqeFDGQNRu
Jt1NbWUwMPu8Q/fH2mDFownIiPe560MWavfgcbPrpGB50bRAFL4FYIAwPGw1vwuwDS8f0Vxa8Ujb
fr5WXXEkb1DBZOc5oan8jC0y9sd4S9qn0cbsHrQh/8rnEJ98bncH6osZTEb2XbpSS2Lf5S41D3bu
BN4C7HUQWWk/YjelPZh/lRZPIcaHtC7a0Z5CDC1kbYGYvLdxAn9jqpbkZkjaFpTfnD5PjI+HNRrI
azYvYVlQ4Hxi7naA7svuS9iI/AVez0jWkVk2eKO6AZx5IbdiO/FsBuS1DDuoSs6sw+UW3ZUwQDdc
6YH66AChBXIliWF4rPkWb9h6A9gGZLlqCkov5suEomDwy31stLnjUbjlNUm5pgfwBPqtdXQFvLsO
eJcQ1enHZBY5L3sU4G+m4FrxLnmSDyVqai/LTLECVIeapKhxoLcAmDAuedh7TADKPdM6a9QGTq2O
SS+bfXJ4DU9BpYG+6HW9xfo3u4ihidjiKrum/gPFbrHdunWYdd1NW/60pPNq8OPSdEJDIDEF6qPx
Pu5YdJuLTlHQNsz35Ryy4jYIRPTZd1KdXaCXByBvbQWUKvoEc4kZYK6jha9kurRzRW0ifW2sb5ey
m/OVNUbIvMP+O8fdbRtGPj2smU1fAia0u2BypWIMA8bel53uww+yADhQ9uAZLiNADdJQm3o0BUUE
c8DESNo3fdiKtyp1s61wbqKqQ31ei3ie8uvnlr2xscUYOo5Gdsm7Pn6dACvwcjPdh3jpx9d5HccS
CQeYPQJMBG/ENyz5bv7AA0s4aisXVAEqj/vZwCWzYO7yceAmOM0tHup6loq+Wc06ntd0gmVipuoO
cwF6EzCSv2BiLCmWAc8+62iPG5eQ5WmbfXRSy7hGVbvl9lqtkR4EyoARD12W/GaJxZDVexGgcOpl
4Y5DGm3dE1y8sp4x3KpnLPWkmuLUNChfwtvBjwKInQ1fBfPutWBrWOrFEDgQU9X0ecd+A51L6iRN
1nc5yv1jmLDw8wiQ+5XgJWkZOHxwIOdfYV3J7x208qPeVjx1ufkEznd90IZ4VubrSEI8B/tDwQOF
iiZM+iPOg3lAm7HEdU7BeODVd3aK5vcthh117tCoTPA676UT4fgS5F3y3Io46asEU/2T1kMI/yeA
RRXHX7zB9H9ulMY8aP6MA0r1Ww0pGWagV3S0Y6+f5mQZk/TN2ooJu/yS51fEZ57gy4bW7nzbT9Aa
oNuNbxIPIsUfbQTLQ1THI3GrOBEj+nY/gYf26zsmnU2/pEMyqpt2zPs1qVgykzWo8y1N7IzNSwEK
gdYGzKAtQpmRGvxauKNszImX1ayymbiT8Q5TzDKLXHpIksHmH7NhWLGpTFp1rsM+lgqS1qjzIPfX
gc84BxeSAFUC1YsyHnCSh0cbDw1o8CQFUSn0+I1MgadLDW0XvFuzaOuVAOoiuQJ0ozm7sthYgxNk
EN7ynUyPW5yvaGFk7LJ5fhlzy7a2hp6Zo++D80a69tK242LGerFILwobomOzTJ+N2rfQl/guWvrK
jglKsnLXAjvDDYPbsC0qTKyv7yTJOCm6o+Buo9N7E/A9SkvJcoW/A1JOM3cbrAsa5tvWL6zLKkeK
nG6Hv5fnfhZ0oRoCWCCQDq/GU7h7r4b/HwV9jMrylQC2/9aP+mrF2b4jGXE6zNB1FyoSA4JqIy6A
X0C2kOj+4QJ+FtWvFwBdG15ThHNAJYQo9PMFyNTDysMl/aq+X0D/HZToVdFhxQUjdLHvSukf+QkP
35XH7zkAX0YNIwgXfyS7/vXH/3w79vjn98zR//6f/3GNmf3zFf95/2ei7N9+1fHbeA2gWH79ouvV
/PW9cDF/XN01Q+GnP/xbnMP/EtjwPaD2f/nLn9IcfkoZ+THNAekmwDn+skP/W5xD9UOc5ff8jGtK
wvdX/RHmECIfMIxhYCFXV/A1m+7PMIcAaXb/SggIATxEvzvAYOj5I80BQbYkhIZ7zb2BLx9W8r8C
HWJEQMT4hggczAEVAC34vwQ6/KKBo+xFREAEZgtECIHDJvkFT1nBsuvJGHcZbAxnsMVJWI4xyOFK
Ubs9ZkHqz63bBtUQotYP65hs71SyOGBQxTC9/+HT+2OZ/RgvEf78bP1+NQkCC65LnECYz64Wpx9g
mWTwWhXCbJdoGsILV/vASkNHNPRuWwHybjYxH+imA1nOfb5OFdggHAXgjGmC05MOX4t1JW/wPQQK
264L34GnyMOjz1L2LQTm7P7hWYx+4RWun18Cowj4FgBdJI9+8ZElEqMJcHjrBSA/53UGO8K7LcGp
cVipH1M4el3Y1pKiB95phtLIKxIfe5zDIUZC4/pVuGUJKxnotMYoekQ31AsCrWxOFQjfsRUPymCy
jAZnqSGKFC+LmG5hXUhdg7yL7F7OYuuPf38f/v02YIshFDciw9qA6+jn20B9gAZGd8sFft3iZeR5
GJWJirA09GDcg3Vz8axZ2L3+/Y/9eWNLCcaQMF9SJDhjLeI/18v64e5j2MUTvfDhMuR7eAGYbS4Q
8IG6M/Hy9z/pukX+wFf8/pMK+JqumBOsPfkv60wPAPsmzNYvkGuTT3DmzN2RrbmPSqVFQyYww1VM
fD5WEOJs/0+L5ldKCe8SPssUER3I4cXu8MuPB2gjcYBAsaGTSuHwNuknhWzX7gi3wNKgARhLT3Dr
j7abLMQ4NdJvmCDA6FH45M5lmAFUsW0x3W+hsL/D1DiKa5F7/00Hm65JANmhSiHBzTcIeNrNP4Ez
/36jkNiBbQM4EBxpOAt/vlEkM+mQpiy4Dw3rP0kUzrwMA7UOSRl7mGjPVkj1GWw4tNZ9AkOLQ11W
aEPobyvd97HyglOUYO32TYK8/LqlWtDz399ioFW/3mSY17CIrimI8Byl9Grw+mE5ZXMuCTDq+L5N
gNsVeb0WYj9ebUXFYd2MAfc5kcet96lBOIWgGFwNxyWa9bFLNAzN3dQ/aaTSuJJ2lr+3bT+e/ILC
SqeTfgedLK8ZwNDKjG0r4RCM0RqxdhkuVgcLGinU3JyHRVui4wdEFG2iv4Ge0j1FLX/g0Mdc2Rk6
XVY2vV2jPojrbIvwQUofYW9IzL6XxObtXSfS/AMjmN6KLA/vdpQ/RWWJQBWLNS9PQT6jObI+3+vQ
pkG9t+6LXqBFGlCp6Bz7lR7YMpkTQjmit5NAfs+R0SCU5S4U+1zAR4YR5jAFH00PHV1j/HoCdq1P
4VR0X+WmMzz3ca+eZcEcLTfUjueZzaby+BxQzUfFG+gFrkHNOh3C0IVb04HQg2Bn4bmptkiwpl/i
GVPR4o1gEIpr0MPrDY6ayFbwDmSo7Wn36noibqO50M8pJlJHU7RBBC613z/l2Tg3C3HtfthUzg8B
iupPGK3b34BA6bQCsERMOfBo4we3tiMeDmsbzzeTH+aRibpb4/5mwJeCtUzmER80FPSyXdo2wFzE
Au0aU7eXydqxKl6DocfARjX8SuU92jhMarnMoGVarKT1EK+2WI4upu4uwwChY2AJp7XvS6gxELu+
CiaiaP+w2MBdhwfFjK18/BL5vl3jGbNMYzS5rGoFU4Th1LQfgU+tDByKBIrQRt34TBBCcGp9HJvK
4B4wCDKkwABFQNusB8ZwHq6dslMD2z4n1dytIXsjJpKBLFCeWlF71xXrXbasMVaUZWO42MrgLDxk
gWjZmw2PTsarKdfo+8MYqQOHoZNzUaLoxsilcVAnqoAVYYF+gAGFBmzGYJQQBQI0DrajXd8sDFXB
IR14v1f5nmLHHCIFVb8Xc9ABV/B8ecA0DIjxyGX+W2A2KklNxmgFfJOb/JJCAWTnIaYrTdtqcMu0
+5uFYHeDWMUFBSW+bPt0KOZlkAffZb2/IcvS6yqNMACoqEt9d5zhEQsq3NbofaD7PawxDlZ9jX9J
8AbySAAaYh2G923fF/0pnou1axT446fdrDHEdYzSwlthxUIHiGuRWI9s3vTwjMM4PqOzidTBaFxB
M64d35s8dDsaktZre9/n4GeaAI/KDDIrNOcZqV1dzVnMTU0R/6NLSRfUJwMymfZvaDKLDPrJCm0J
blkxnUIikxtU8iqrAC9NcS1HyerdMIWu2M66gJ3OtkkVg4HeMYho9+CWsC45hJqBIKCioLoJkQEy
noQMLW9UkQi48/F1ZVhgfIHlw8GGOisx9IVeEXyc0a97GDfwHEWXcEd0iCzzLQnit76zkblkuvBj
PaCvvU/NgCOJA3nECwoM0eMDvI3h8AFKyCDOE/xe7rDYdJe3sFevb5M2Sj+ljmEgmodYvPB5gHNr
lmyXuHiQXeABY/jKK7SGjYS370NnLSqLlrfbM9o2+1nPIoYyYjlrcoQVQaPNGb5P2o1wdw7zFl6g
PcXJ47Km4dtwhcJQ2gwG0mqFJ841cBK18maGhAcpnWJm+UYGtHgZyHRdnG07LUfaLWJ5cD5Z84pM
FvdG2AEXNoK5CG9xghUvaK6xunvsknOdh4UbT+tSsOihnUHVPEX5UCQnl7TW3K9uvRafwruHVAWZ
a0bb40eP475DHIj6dQcYQq9v/nrpFvsTrguDpUuSDngXZoIRpBRqVHtVqA2Pju64ko8DrI8QTQ2q
Ao6/w54arYN4M4WJx6wj1oLgdsNcbe77QGBuKImZIBMCQ48bv03g6PBniNp4R9hAIJJc6+R16F8g
mxRnAMcyL+EeVFgXUJ8/2QEaALSM1j/FqyPLLUeZ296OGl6x5xynxXEZSHiZCj59QJhFNl0dajI6
jzkvzC3SSjCz8jOdIG6Ccz7qCB/rVbr3X1Sn0gdnFox1JyQPqfc26/lyA7m0/w3uqOseIqdO1OgD
8riRoNGWg0YizPuAsP7QW80xPk6wzfnZiicJ6vEWmlSb1mk0R7BtdGmC40hExcuMVBzedNGAx2QP
WFyckmEMp289NmR/zkMsqQakC9ZIm0JgOUBy2RocMna6DWcTZRUrunXDSRtvBKX31H6cC2CEgUeZ
ft6LdQ6/AmvzC0LmQrqBmonwrVwfXmEoC1r5pHFbbBVgYAMX8rat985TiAnbMpU5XW6SHkONm91e
IUfo0ct+1J0ax/shc8ldsGJg34hp6LdbDhutqPJ06cVbVCLLVwJ+FaQjlctWKrFYjIntlk84Bfz0
3EHgl6/huMf5VgLGUf6dXsFS4JsBAGoETMz8HDBtPwtOgg3WxSVTJwna+9EtAduPMzR02cjdYJHK
aG3jB6e6Pb30mb4K9Xoj2X0SChCIHtXN0lhwBUBy80FeFUXaY+9Ylq4JXezmeusA5Bx3ONBxqYnj
tPYMIkTFNGTx9xidhm9bMWOt4aQrXrDW++VhKAYkVplIFzBv9QKAgzMf4M61eVgqtdF3KZR8W1uw
zQlQqw4ZAhNDqhAOd6zoRssYdxONg3d3Ml7VeEdnLeIHUClddoJVHnqTdC7g92oOtK37BfJeiWrM
rPddx3D9M+xwh0XkSgB7JeTkpwTPvc+ALyOhRND736vS/5+k/E9p4X8MWb7nWyLo74cC/t9GKX9m
iP/3GAWziOtL/pqjZP9CRA442gjhmOhJUe1/D8X8fY5yzRwDHY3GGlYbtCN/zlGyf8F3AsofEiy2
vx+DMZMQv5UGyXU0RoQasrhI8X+ZoyCz+5duI03iNKNphGMphsvj10GAWsyurCnkQwtbBmaWMUIc
EK3CFbzFTCfJI3yg83IcOzLMB/a9tLLXMkuxbbTuMsVQvUqqJnVF0tQaP4kcKVjufQrYXpEqU3Nf
Yoirbvg+EPuwdhP52hNtQZVQFEg52heRw/tqwpHD0SgilW/HsUh4g1KjPfftEP4W80EgIOGaixDA
A1a5LOdnqpIJYY98rxzK8KcUx/OR7+Nex0WHWYrCUKKCE94g/wGqrCr3Ts+Y0MZJ8A6M/Ge42EXd
p0FbDnFBL5nY5Enue3vnVCJPdEvNR9uaqEmIBuQ1D5l4mun1eVtG5x82A4ddjUagn5tY4x2XudlX
YD5Tp+uCCHE7MQUeAdT9ym32WdptfbdsmWgvYM+CepGavpEzSRAFIJGCWHWZh6uVoqErWeEA3i1k
lR5g0Qo5H3fCvzI/DmUAuscAWGP8GbMQBp8z0i9U5XH5J4lwoNvdOveaSBmmxyxx5MSHeGuKDMpc
BeNsHx4oYjJ5SWWs3/vZAUjmE3A6zJv7c4ATcyyDNNcoh9mev8mVpRDmugRLot1l1JbUiWWv23RZ
5jrrqP8AeX7KHvBOAOhAvu9dDdnP1TjcUUKRGURa0IrfYEFJGsGlullkglQQDgQtnaSpzSjo47Rj
2y0HoXgNo9f4qBAqcvYjECzST+Ej8DPbAAbIzizBjKdEY5J9tbC61w6WEYSwhOC4hB97AQwTwQ3I
MBoCfZdwJBvek8EgDeuMEt/muipSsFh5gw8i0VW/iUE/JGoS4wkVZZhAm5SeD6VAABk6nn5J7ixT
SDxAMglmnQDjQoxG6n7Hp/doFn5VFjAceO71IG1NA1fol27GkL8Edk9qL4oMBRERiLeLnbvKEhFE
5zPiaebiLkOv8LWfqNcVQCFFS2RP9cHdlkqOsyd3oLeCXN5twypuMzbYTxHOGQ1tzZrGa5h2T457
kVYLNHWARLDnixvfdtF4g7zDLoTV1a9hZYGxrjdk7iks7VI+SOfDvRLTBsJmnBHyeBxZThGzpL2E
JNSOoEY109t2B4nZAEgLkrgaBe4mlJh+CysCK9VetsFQ8IdsIHKp5h79971DFOqlW9Kr/ZaaWvCY
e6y4BMd3S3UOSw2Vl2Acu+2wMQZlOA1JNtd9l9vXCL9rDAkUbuLnq9i3oxfeHwsTfAn2YsAzFWSj
Q3HR+vSCUNhlP6wIEgQSgxDPV8dGkpS5N+ItSPdoPMLCMYMWJ0nLgVBBUbrBTuSfAWmgJIZfClWl
7DpEXnREoLClLYtPGCbPv9kgeZeaLL+LIcMiUkFFm76xCgLcaYZEWOc6CJFmt5D7HSbAR0hWeB6h
9LSIzuLYzVIDFEz5qQWNF+fnNsg9sDN00+7OhXa8pTHU8Ro/SR3znC1NF3IAeBL3ajxwvbc1wnni
x0B7sh1iOOfrrGij2zEbiibOW1RHgUQ6D2I+XPhW7xDyYb+IcJ9VwtvP80QBtEOFw1St2z5g6AA8
YR6TBM8alKk6aDHW6cMMmtzMeVJ1SALDyE4sfL7FFyTAWAJwJGUaZdrzMsv3XpyTJUiRaecTmmpS
th5ZwLUz6OIjBPXyMs1mHpfIJNxugmmOx4atvQWNPoLTTe7RXhoU7APr3oaexy+b3d8nWMIrnNIO
/QfCdKKbLLf0MUtlWPOV+XqN0F3SYgCYNOxr1HQBEmgqkP/uaWBLcun6yABJRk5neG8xbrzf1z1r
j/k0xq/T6l45vNJIkMkk+ulQouyqto2s6KS39tp2XHuY3YfLUw/CCGkQOL/4Y+g2NqObSzqPPr7/
o61Pfm/ywdPY/JLkKvw+Sv3/euqf6qkQdcbf1VP3Eg40/KO1/FHRQlTD9XV/FFV5/i+YZBFvhZIl
TkMUUX8VVQV+Acb1t/r8XjL9UU3FmAPjILjGisf4ZUxwJ1/FqQTWXorh659K209yInLU/wfd55dJ
7XU4GxVx8vv4nyDEBlf446TWkDUX6yb4Ccjcfk/6GeROayHyJFA0wxrhPvMXZ7bpC1AM9g9zYkhd
P1du+OmQ+UK0mAhYu9pbf/npkgIIVXpRJ6zm/Z5CdToE0YJObe+x36arIDfrBKt0GWHM0Zbh5FVS
bjgt7kYkMb3bmQFNCZoYk7YRknwHItiPM+q6yD3MMlE1zlr9YdcK7BX4LmmQgCWpN2BVdNTE4brf
I1GL3OAqr6M+dFvqghN1+0bbHA38JCVcVQKJJXi24uzpKsxXyBtxx9xa94Asgf2gY+FhAkjYGXNM
fG7Z4IY7XGaKjRWBfJ9iRLgekCKs6sFgtOiNb8MyE0kw6JvOI992fg7ZboJz7kCIlj7AXfoKpwXP
DragQfRCNiRYNb3hmBOgDw3SD4JgUCTRjYKtvh3XWOUxRs2Ttg9TRI2Aoz+3/AKQROSHUfmQP2FU
mR1Ip/opKSXvSX6IAD+ROhD4NQcnnHD4Sh5ipvXqENo+HDMMNGEHQZwCTKLA/OBHWijHjDtHv1uF
Kgu57Mo+Y4Rm5TTwz/3u+ZsNslszkr0DlYjA9ytoN+Wvu3Fr0AwhqA07TPRosr1e8ScEzWzzl7Sd
tgvNWzSriiCnpsvi8BFl2lhbxrbXuXsscoAH/dyT+3DJuyOYWz2Dhaq2Lptukfh0mKAxPExCRVgw
miKhwYBzDnzBHrfMu3dKp1fcBdY2itlZBXoGSD/Qv2/B4NqnfFkd0rEc2voigJMTldJpRfjQB9SH
cOMgORsK4jygcx/WM7rgmygMuyfRtepxA0aFwWUAPQV5lscgtNkZdPzJFf4txcgMFU1RLJ/TMWRP
vRK0dnEsYU/I+gb2k/6Wkm4B3gEtQeyyezdu2VBOQSiOMOsUXzKuJlDPbG4fNsSQwCsQpohBw9F6
KaA3wA7XhsF5EBle5clAHpGIBuhlQhIjvGZv/4u989iOHMm27K/0D6AWhBnE1AGXFE5NRkywGILQ
0qC//m1kVr6KZEQHu6qnNa2sINzhgNm1e8/ZJ9Vq85NtR3XkmyL7mtDoebLpOQcC2dwuzENxjBDZ
oJ+cimNrjd/DULmvy5Sh2K+BVdPcibpXpMtbimacT/EoGNCNF4OI5TlHeb6D32gVwOZCMB+RyI6V
Z9hXYeUYnyboL4jsSiT7Jtp9TK85/prZ83tRqQdkKNHZGiX9cuTBFyM9vOsckM6hiGp5W8P+uu6H
On1pyjj9xC+a76epty76askPfVnW19ki8q911NmhH7aRc2KOtdw0kiZS0TVuUCS1AVCodp27Oe0g
N+GPZFmxpuTKnVvr1lt0GysMr8Qhn9pQ29RugqHWjqxz7/bqcsBe8Tyt1QcTNbxHyI+Tqy7Omoc+
68f7JLHrk5VF5VabEu9TJeb0qR3s7qKTlacBF3BSKMrOYu4MgNqoX73wWAPa2XeQewPkwsxFmkG+
yaFt9sBw5+cpRdsfedqxzOri2MnwKse6FoR9rG9Gj2GzUUZH06svZnxztMusTU2z/xtCaBNCa5kf
dGqGTSnriuGOGmjLYzc1Y33C3WE3X2qsvRc0XHGKCaRLdinG27SSzXWMOfWAT9K6BY02v/RVsnyV
oTHcckPCM4ax/pm2ouEPYsSNzvQtqIopPYy5SPe1SOlGAu7KHiGA5Xt+dt4WbWRk4GT1N0uzu/0C
uVhtppDe6ESzbdMULUxKYyih1RSz7aeM5WhiSfNtWf0mG9jUHAt1euCeSXkIQfEqDosbBGnetVmZ
0cvqQ98vKFthOs3asEGJpV/ZSaZfeV3mUZkX5u08DajEDTV7l1AK872XT+e86fGEGryop76PRLAI
j4FKOHbTETN+dKpBtwaRa6Pr6q3yqm86dKMWS02ZlxeaLdOT2Qjj3p6hkPnUp6GvGnv+Gqfj1PKl
3TbZ9MyzDpCQmi+IOreTnmYn9hJvGzaV+TntOZdzrsj3DafaB6NN1V3E6OXa7NDman2zoLOfs+ZR
lb13PUlnuRpUrb3WVQ+hxDDGuzypMBLw9jiX5TjO32atgtueRY08lKUcEQIXwz5UxnA9gFY/mbRj
d27SNE8jatAbhjVhMIth2SMFi2/Z2epPttdXX9yudN5mOh45DgYGyZDzvmGZTbciWTygcfVurNz+
AnuXDBxiPQgT4XOCB1Da0TUyhq66yodXfH9GzrART61vL1p6ymPRPIUwgraVU1dHVxZJ6Es7zd5K
EHg7hbvnGZa0bW/xChRfrChy92WDNamH8XQxuKW2yVEXHgETH7w+wxaER4z9JGdKeN0J3TunbqGu
Mo6HWwSI1amptO4q7DRMYSKT10zJho02lP0z6iDcbbU3KPwiKLg3yhr72zpS6OA1b/6uW33ebzzY
PuXG4x5f5GOngR2V9qcmqVh6Mq0SoAe1tFwX7drGixyGW8C31dnJSus60cOSZWmYg8zNZ2OThtLd
Ox1psTwTY2L5pofJlnZ15U+V475mOiJrYFSvAg/clRaV8t6NsA3TsrIuR1TZLIOzeYPNTgdEU16t
P+CpyS1jv3S9P8wgFby0Ma96t0uPkVmhmo1LCkGAdI+O2w2YUjHeN00l95oN6Iipq7V1bTbHPEOz
jEStPs6Ak27RsYmvHdLobmN09YJWd/DuDZnW5Mcoc4e433iQYRoLv9BqcZOFzeoLGybvNo9KZ4/M
oGISbl3iUhv52QuhXzW6cdUJm9FqZ9KgSLTme9zT294AevQOYdc4Bwcqha9yhSc3nNVNTUPrJpvr
5pAyuD1MKPn8RTJUHMfFW0CRtc4ztYD5gHAgxdMmLefNLbT+U1G5chdm9Ytscuh6qXdrma1K+X56
R90xuurAMIRWeYpg9DTWrYZPzVRMLoUNrNXRmuVrUrcFWiqsr9gmp0BWbG8zM24eTaHQ1TJBoX+e
7YyEzbq3Mwiuo9s6WAXx4qY+Pbb+mnFjE6imZdLVFudhHOjJhIsu9ux35Y7BUsYAXJt3GgL2g1nl
7hklDjMr3Uk+UaDZykdbTwEyh4e+TkM/ijPPxK3fGtkRt4fh82TnN2NVD7Hfiill8qhXlK/MeLeZ
lo13CD7RGSzWeLT1uTx3WTPynlh2y8PhoVNsl3grEBDtM51lBVEjxTRmxAmJuamP94OeR496VuWP
ABbcHWAtkiJk2DTnOuu8iyWzqVYiGR5pQPXFhnYUNrOsYgdjdBkek35ol2CKrPSUdh6Wg2QwEmxd
kVcdioZO0XerSB3lZZsMOpiLeQ3jTAhZJpg6tz3JPG7QuSnrSoh2vvaa1gjw4q39xmY6QQlfthGF
/8tiuxepsB8imx5Vb2K3TnCI4wM+FZljfE6gcGzaOc/9JrQ9SrLCfsFfZh4homEZGWMLSqSGn9Ba
Xtt4/pI42q1b42Hx4sEO8gW2gGoS3a+6ctzrliZ8nDb+xBHhIsmNYkuOwiM/C1PV2cV6rDAsWznF
jZYnZ9wI1pWS4pOh6PUhleuhJuMuxHXd+nWRc2NWKGlerO4Hy0Lh54jyRASOtSuRSKBFYkiWDOd4
FuaThX0z8+mbwb2x6VWvRgV/AfbrhxndK4zCdCaQXjvuxMgvSa1Ps2ZO+zTB+lV47h4nuHOmJ5z5
tV1mVyWP36umnC2i1fCh6JR9qFHz4xymARQXeRIM0Sh8HMZscySzHGnoujt0NguO+FDSNOmZaFdd
dE0MBjs7STpnqfPlUjdnctUVnBPqtvNhvKjNDyfm/6djKcwqC3yTQEWE2HI9OP4gIIpDgcwAC+sx
hatLCTc54aldXFZp2Wc2QK+SEym1VMmWrWfB7y/+TmPFqdQ2bWh+0JDQaBneu4svSYmBdqmTozFV
7dcFNtdlneQxrWQvu/v9pd5pGNdLWQb0KWM9/SKTf3cpBBQpJuOCSzG8Lbe8I6D9SrLDvv/+Ou+S
qZjOcCFmLR4NBzhkP1Hf4ODPgq5mdOzrcN7FsJSPdj/RniJr7gYGfeZdDl5MXMAsitfaiVbtyhLF
Z/wZ6+E6ZEa6/eMj/bd/9EH/CDc2v/JvlM2wAdrXb/+bX77O8P78N3/N43QkyhgN/oiIJA5u1TD+
NY/TSR6UK14PUL9nSod2z1/zOANdM80mRMdo8pBE/9BRspnHGWRI0UxiBzX+vXncH/kNPyo817zp
NVOU3BqLB+89skwv4loHL61dYPtpUm9HJ4ve9ks7eKJsT6le0PXZZJ7rxuneUXQ65SXjrgLuUkHU
lNMxeZhFTR8dA1pmXZUamlUM7ZjZ2H5YRfM2Ufs+S7sp3GduIpPkUkbjgPFq4X8N+wNwU671qMth
bJZoE/VFP8WXxlBgIeKU4joa4xENzcBg48U/wQGj15NZY57MeIvCQf/EOGKNYbE7oAD3hEoQbbR1
RUSj142nPvbOSdJt12oNClHhQsnyUewAqsn7lhSLDV0nBlqAi1B5/bkw/vet+eCtIVRjZSb+31+b
HW9N8q848/Wt+ee/+avjqv+DP6Ezk2HqvL4a/3ptXIfEVdNee5EmT7/l8G781XjltdFZnT2Gxha8
fYsV/J+NWDwE0kSHS9gcMnTT9uT/VyPW5mWhEcsbSEnOq/r3HS9CArG4nPgOJgyPzs+z9YxKUeZd
in5tQIJnKC8zG9Z4QNni/ntbHp1pNP8uiwndRXa/9+GSuOMXYGdTtx97c9g6c2FTv5t5MIOSO/zw
s/xia+de1j8sD39eynOljgQcwNJ7wF5rpYNhFLLbC6MF5GYa8LNVXDMgMpr/4FtxKz3LRvZt06H9
+z1dDDinsxAduLgpQTa6NEHbgVzqJuejWLFVd/3+W5HXoQsapqsKYe2z/1CwrIVflktuoJcw0R5m
Ey1Zb79NFJhRGaa+U1nQJUOWBWTvlf/7W/quivjjljJGoFvEU4ww9N337KYYHETddTiQhL0BPxzT
bxXNvxfkyFWIKDJMVndh431y3l1FRa6lhibs9y1gbRC1Zok7XE6NM2zTukBm/fsv9c4J8cflmEij
6YAehFFn/dI/3FHZYGWPja7fRzMDtzhrv0NVfXOjqtgANmWezF7w+yv+fBtBzZpsm2uuIaPbd4aS
MKaj4VrA2VJdSg6oXs6P5VV/1j1YqH49cVlv09+fFK6CMhv/m85+tk52fvxeog9hfzVZTzNmIGJJ
0y4J4jjPBqU+rl35wXf61V388WrvfjT8T9DPyMnZuwPThZCxQTQU6OjTNZvV87oNpd+X39/Gd2lI
8o9fbo1HlOh7mFC9X8rmGJIhxAHYfLEtzqIS+VMETe0IosI90P3Ngr65c4bZ9ZtcqG823ZQT1I5D
H7UVKDFv2FKZjpt2dOqv02Rpx9kW3sakgXC/whFBkkTMIJrlg4XJ+MXvj6nQ0Q1iHcGgvn/iXBXZ
ZoV9c5+MOFA3QhuRNEyTHLa0kFc6Nii7Gsh7YHH3tmY+ic90eqcbAAD1tYOfy6fd7p0Zd0UfvAvy
lx+N9Xl9w6nk39uCUo+YOITeHR6KGDt3LAPMR7BwXLtDrxOpR+D9UJtGGwBYlS/lCfRoe4lwfMiC
YuoGwAkM9oWCSYLteGOhYg7C0iVi0Yzmi6g322uT1t0RIRVBcvjiA7yrJOBAaXvqkTA/dXCBfA81
NG0IzdlZeP43g9W6276aTl3WktWm5b3fhdIjRIjkMpE9IiVU15mYrc1sLdmutXqc+1p3rjxnOTSJ
A/VQYH6emEZcMqDRnzX6Cvu0zLSVjf6WzdZdh7GVZmyUHZD8dGf+crn7/dP68wvi8sRaOAQFTNqf
BqDAS2Qvx/VHV/G1lvUxpif9aCTTA/Koetv3YC7/gyuijwUhxPCV9ebvC4DXTgMkn6zbt2F4pG2w
qii+eqW4bC3U/uhYX35/vZ83XFc6rDbU/SsR+r08TkXewPm97/aoH2paeGI8RoAZtq7ZzsHvL/Xz
Y+qSBWubOrI/HbX/+t9/WLOjXg7piLVuT/SMvKi0xjhWY+98cAN/eRUCsSlTUL5zD/9+FaDWWtEB
0qfD2ertBl6gdkBt7978/su8N2iyjvFtXMbTVIu0Wt5PpzOU+4Zdr4aTyagCjBzpzp4KnIaKECQR
KjJ6LB583bFw5bjPCKP3lciSj5YllADvNgysq/Qh5MoPx9T6bluilwtmb3DgvE70OkdcKTusCd1O
jB3SQ0ss4miUwMZavfqeV6NzR4D3uI+kPlyR/mmdsMB8GHj3y8+0CjixU3rUrO+2lUhoGp0BS+1h
IpRHvZVbT6dZtJRdcx0qtHcxOMBPOdp8H6L+fO5Xgzk5vYC23bLCoZF/JxJiuM5cplTL+LnHcMS4
vavvZ+J0NnWXyIMky+RUzlAD9e6j4sL85RdgdgKMnRBY9Kl/f4boLHvF7I7c1Hi+i1qn3vWjiB5j
VjG/RogUME3R/cKxO3astjjh9Hh1E+eBZABv7aGEPjiYYYshwLutFqd6cMXyfZEhuXZu7O0Q0M/B
mKUae0WXEyAEQeSDp/Odk/GPp3MVT/z1Dd69BWMH4CeqZrWftTQ6hcjMYFFMZZBqetAhZtxYPafm
NNWRhs2Dvw6aP3gPrV/fRFen5QDz3Xn/urszawkWPrVi1mi797krv1BW3ThCcRb29G9I5aZnes7x
V8ykXT9EPrjWOIDvSl82UjtTV1XQIhJeuZdjsXHMvvaR0ur7SUJ0Qf9mfJ9Lw2CpdO4dK9tKgvEC
W/OeoSIxlR6kfqlJIz8sVfXqDDozOi4UQRP0a5xi8oN7/nPpBpYHwZ+gQlhTbN/dcgk6HBIUC0KT
5s9liOwjzQNtgQNXLdL6oE78xbJNE5IGCnU9f/h9pqQCt1y2LDr7OirfPJy47NpDuhGYoD640no2
+XtFytcyVx+1wFCNZOPv7wLInB56jeRJaqMH8HPRM8F4a2dj5jRBhiZ+BN3W3BOpoR9lp/9i97V1
gYqJXi9n8/e9oi5KGuB5MKx7dLjYgG8mp7kDyfqWO90Xjrz2BxvU+z7o+tbY6IxQ0AK+IBLi3U8I
CkxNScIjyzG8vOst6p45tIK5jAcfRcN37C8PVZJPQTTXFDfCTfwBgWHA9OSDt+eXDxO9OnYWOkw/
qdaTvhskmE61H92qC/QaJY3Av0i0TRX5Mk7ffr9e/GLTtDHw8TMbnL1/6jQjxMwi+mD8yEim91Ft
hP5CStYHZ8Rf3l+DTgZPEreX/v3fn6VUGVEFRVvtOSOT4jVMwMFKNPl26GrHESuqHzEVC8icy7dj
GBWwcIwc06N2sQA0+uB9/flQjsecUyGHcuHQy3/3Y49zL5dYZXwYxE5otx38Ju0CTXaO/KgAx1er
otzHTmciH+v1D14r41dvMNUQN3sdYoj3z1oHHdO0GAzuZ0PEX2qn1eQG1Fd3VkjbsQ3bFUxl2J46
+MzZQzs22E0u0YjU0NSRVTPHGRmdXg2xBbzQ7Lre8AGqq2+/fzJ+8TFJsWMkwKtPnfM+iyFGoj3L
0m729hS2u17gzxKq8bbU8skHt+QXl8LhJBwPDAAMjfe9nyQ1VN1gWEMMExZvwpqd26WMC5RStv4f
fC1qUJJu7LWl9tOqVpf10tWuaPbSTNpbkNL2rpqd8IKUv9ff38BfLGJcibYIJSKW/PfnRnMJI0Tn
XCmxkPiEXVnfFxFMf3Y3fORTIVBuAEz//UV/eSs5XwsydAxBW//vL1oU6bCxY9ns8RoOfiGZCCZp
YQa4GD4axkG3+XmHoNLQ6enT1bdYsf5+MRemYx8tBo+IaHXSsecZDHwSi3EJMFKWzP9bZQY2NTkz
WGsYtR0nx37aLrhQi9vCRVe+TSx6jMdQzfmTWQ94D2FQukDacyClGyYF8WuFhf4qYyindlGco/dU
qPGAMPKVLN+xKxzY3iBHYzcCsZgvpBZ7+wT/47IFt4AZIELo/mD3Jspp7B7S3BGgOdlbCzKk+eJB
WS2+2yRtMM+qOcHEF1MMrXxFebXxo8orYz7m4PeglCdGQRSUXhunYsHCtld9NqhrWTCxvRK4RcJb
W2HEXSe42ohbEtz4tOmFlxH0hJs0Ys5eSidArlARIIdE4X6AsswEs9SqA3G+oFXmqDXho8bJUwFA
D9Qh2rj0SP5VVPtuTw7dbs4wcmyLGl/7ZTpwnES75dVjvldqRE2KqxFBfzXgEb8oNMx19B2K2gzq
Qq7FVUJg9auDFZFpRNhNDHkJm7uv0VY4e9yc6Xwzhs5wD1S57bZQsT3njmRfF6jvPET9kSJ22jXu
5CU7AcYMTn8dLYsPbt/bly1b1DYP1/YfgRsM9xsl3UfAXAzN86KykNrEA1KYupaHwu1v6fPuekAT
zyBw85dcc/W7jpjGTVik00HD8LG1Gu/c5/MqPdlNsVPeEUCwQWqIrRpXyx4F40jkTlbglxhO1jCP
vlmr1zQjFk72Zhj06WTtsEl/E5Y2bgfsonyG1tnbatS3nkjsvfCWakPFjO8D28eFEvX0xenwNwoE
uZvSGV6XxpaHwYJFMEzzRib5E/igrY328kZ6WKQAwic3TIkWv9cT48It8vgK2AGiLgcGBTKSp2mx
5F5qxm2SwGtB1xgeQ09k/pRmPUWFcvycXSJQyllu4YMdm07gJFhmSFpLdobTiltctKdsmshD0TMA
8x2z7xTMLkSgjHwZK4bPnLg3oSvuMCCjDBzdeLcs7eLPWtcHoQnCeqF0vQPwXX8uXaVflrHjBnPX
2MGkd+2brTWlr3WgSlwa1nunquSxzfFqOmQnHkkBNY8kRbpbmhQnE2YPhC1jl8n5pcDq/FIm4cGR
4j7p5xfs5uV21AEUtn34UgAHbnkDC/c49A7SF410DKgHDwz6wpMKLaJgosrd6qlA3MVcbiNSDzQj
54Y7kkeHmyZqoRH2E/uipS4B+uImmnDIzxqZFohaDq7VJQcS6qBJFO7wJhRSC/JE4AgHKDS7ZYYG
0pRAlTZUmi0+9irxuoesIgl0Y/LwPBcM/KfAaThHsJmySKRRP36quffXzchTlhLcscEncdR7ksu1
qqugYS4uCmuYnhMvxDbEgzirS3ceo1F9QhjtKGC+ZijGLFiU2X7SDGunpxFkBw35Ub1Hv119nZwl
qw9Wlpt9UCAgAtZeQaC61BBJouh23Dba5PMgtRPtWV3RpG2w0rfcKYwxZR6goxweYrr6N2aemg9h
UWbJcUztdithWFwbo4nMO8GbsgGzi2wmUfoXWw+pJ+nv1ltn0fOLmk32a6fcyN7mqAv8dJSJdTlN
Ci3FkIVvHs393qcKwJdbMwENltmdHpkzFW9t3a4S40IZn4EKtAFHNHn2SrNeIY1jgKl/3ndULA/u
LNJPg+LvzJgngTaYzWlBvuQnUymOEHnUM104xiCpivE/DT1PAtr65oUw5uZrU4tsl01a8+I08ETJ
e+jyo4XNf5fgZH5mlgppxanGMbBDWXRBv6zCkNzUJMJxlP6RbUs/peA6Yu5H+L+KGziVeu0u49xU
HCBU8//vINI+NeG44iSw7BAgHo1h4mO1ajy/YDR4rAnEWZ9BbTxFRIvfM87OEe20PUAUbqf2BISA
r+istKyLyFz4qHY2PA3m1I9X5CpH58RFhVzp9XJVdQQiiFjwV6062Qs9se+HzpTLhkqkOdl1HJ/x
dtefad2ZWxpn8hy1vKqkARXLbumnDAHmtAp+IK+f87weiAOWCLB5iRpeKn5dmvDNKWNwfsZ3WX9p
h6iFwIt2TyXc7yTNZjDB5bx3Ccg9aK2YoXiazW0t2/oL+RdlC9d7qYcga9Jkz51NDnIq+LMasCmj
Fc2pNlLvckGP+qWb6/ZliLmvi+M0XysjahtG7kgIsQAU4QmW+rzvvU5980Ylz2JptBGzhhedJ4b0
NfUuoaLf4HEIFG/YTi3ycayRfI5Lg225DkgbiHycCE0DOjNGkuv2fag2BJcbD7Uxy3Miq/Cxxvp5
bcu++mxHdhZ0UGvRJcL5MTaDSxEpe8vcRkQon2bST4II+AkuAb48WMHp0UV/CMczTA5Wzb+udS06
915jLygCSNjelLrLxMJq8mObrTSNzqOJEyTZGJ6w6/F/CAfP3RBolHdButRVv1l4z2ljlep5nmla
Y0JV35xISD8M5/xotN36lPdx3TNzMeU90TnDk6i6ntCiig+ZI6i6I04Vo0ga2/eat6D6r8sxPhPo
WhobhWbiJW+W6ca1Vf+kI4u+S9af22xD91KmeAsaMXChDJWh5zgruUOr4rNQ3DU3jecbPdLmN32p
kr02ra4UmvbhHbgOcWz0uLy0rZG/WC3ZHSX79IjxUn1bRrAkpwWdRbzVyPp5c/CpQDfu43D11hqK
eCNbG0vf1ioUdiJdClyAmh3eiZgj16buVTMfiwGvMN+dJ2nBXMfSawueNNasGAdBWhnIYpfqRgNo
DyJ8zvmtdRLpSYGxKoRdnureKlfjzDToBXTfYmzekD0bTyICJzCMyvhuDyksKV695pbVYnmrzLQm
ntwsESm3qey/gzNYJL+Zw7Nf19wWm51c7fUxM9qNTcn7sJi5dud1OquZYw/fp9ptbomlp/HfmPV1
N8z1J4Dpza3RudGZ2MBk33m9C5TIBROk4hWHgIbtSCxH94xdaPVhaK5ija+yQh4riC9vVNTOFWfi
cFf3IU5ytAQOfdPOwtUdWu7nRbnddVjU0X4gre0g0NIeG7bNS6sVWb+RTpTc2ELVO9hp6hFqPIbc
JX7roor/SdV1HYRDbX2RXgSFtIa3Ugs09KZFdIccLHtvcL82TDRFkHUt7yFApvnOKNrphiIEvLBI
wyczXw2VWnWPpuVqcFgSITIknGWIhBjBQZEM6p5gqJJVX9Qtl8Vbr494EWEFsW5YC+N1PdGuJhug
fznL8N4OzeroTUkfsegWy8YoGTY2eOSOMulOwzyTwMC7eaVHY3tZRs4qiixJPjMtSkCP8R8t1FdP
YqbMnHK6y6rB+gZN+4RQEy30DFlwsVSzLW2jxjwvLqYpFc/U23B1CbD+QjI8c6aqI1NLM48NvhSm
ZTEF6ZBW8zP6yehOL+Nx50z1wa7yJvAwvUWbpKkOQKpf6f8Vn7LCWVY+FTcJD3HEQs8Jx3dQ0sUr
nV8dM00n7yTUsOoXot6pvmfwZfSQl+dxvMFzCdk8TdV932g2S50X3fWKi/QydG568CIbGtMzQPBQ
vIIMsp+ARuWHJHGeJlRSe9qlMXUgpRw44JmooGSMrxKXxk1lmMfQWowvsR6OO5Ie9H2HgzxwE1Si
48DLqOq4A1tPqzCaZ/uC4kI8p0KCFJ6qHa8TC3CVcjqN7MbDI+F5b8QxmM9TLYxrr/AWVAuFeICo
j86ZGnYnWbsuilDlT4Z0nNt54FeSAyzKnUNduCH0DWLiNNXfF0ZNpo87J7luUh6DpCSKHP1miQOj
rud4Iwqs+lONd5UBwsbDIuv3jk1BjwX4NZ2n7BSN5QEdc06ShdAuqzmdbhfdfO4AWu14FcHcLimF
msQZEzr9dSFk+AjShTJDDLuMJTDF0tMld66ONplcDPdCzcnKZo+3scyRIlutPBe1JAs2Hj2DoUW+
HOe5Gq5sUAolNZqW8cLZ5amOJnJtUgtwAxSolQzUlhxLiVbkNWKGNlzBXE5fClPYe2nQgKe1Rlhd
s9S0NPpEm2488h4uZ5rZnOqcgSyOvsUa4o2JficdcWpTZzqEQ+cPrsqu0J9VF6qEiaZEheeBAQ9Z
dqpDuob43VbpwZg078VjZso557WtyhX5JRcibQlVgUcYuxsAOMYLkKX2WJnOF2Oxv4dt1XymYs0/
53CvWbQU8IgcHpk19NG2c/ridoaiH+TwsRl6e6h/SYmJURTr0wGu05CciKEbRTA4ukLBnxmAo0ho
rs4a6UYwD2anOtO+qQBguGlETjWZ4QvPqExJEU/LW7Nxi1s7oY+8SYix2Kfx2H3Llal/KVUaf4Pm
jXzZxCB/blABnCQO/nvU0JjqWyoefreEQw6ua7JGcMJZx7x22VE8AsXZLemdLbmBYzSiIXmswsR8
oD7mZJoVsThF2aS+FRmsT9Urmghq7ou3TJR0FdTShZ91lRpfiFJlp68ELCmFCeWzmZE14osw0QjY
WUL1TZO1VmxMRIXOdslkeZ83EwuDiqex2jlRN1Q74Y10NJAZ8njE2N9wN5bQ5GK7hyfmETLzGQ8w
/8arp7wNnNQjekCAHqghdxAgEgyKTwkhCblUUKLScjjETFw0TUSpLpJFdpwb9XIwYn+s8TXsKF75
y4uGWPwoRtqPQSyIwN7jUKUE6JiQgm+dCu8yjXVBJHxbULTmoc2vpBHvbROk2Yefh3YAABH10MY3
YM2KN7MnnGPTNxbe31FY3uc/b6YctAiIBuPJxF+UjjLNMZap2nCeqPaWJyOfXFCVQdxYmwJQ+8p7
iX6s3OdJSrsHZUHCAZNgvENt0AU6m42cjB2ZhfJiBsR+L0cUFfyEzFv9MWz4fpkj6Ye0tZ6lFwoV
w7AvZoQfV97QDW+DTW9005uwK69sHJMP2TyY+xJ34HMBc/Q2c7yGVLfa1R/AJqn5MNGGD8+i50sf
zEHnM1KV86mTEgIM7ayp1Jj/kYDt85vw7tL7j+eAvgx3cQBs3bFImOpbwumF9O6RinhWg/qegDHE
Yta34M16r0hSoGMJAUO5zvuzGfk5l0NJ/+80wotdfRMdFZ2MRZ0eAUfQRCEjLU9ZXBIo/LxTHLjZ
hNm//KJfIy5KAkSgVy6Qbc/xQPBKs5aQuVPiqcnRBj4aqW5um7zST8yk28NYYOYrIne6RMuUPBEt
NT6Ophj+bKv/V4P6gQbVspFH/tCl/Ymk9Pxddf/nKWmjpEzoIf8LqPTPf/lPJarj/AN5kW2jKTUQ
CyLl/l8Bt2v+g5mUh8LuXyrtvwTcOiJVHf454mqQS/bahP2nEtVy/mGg3kZRaVOfr9Clf0eJarvv
essCvwWCSbTWDnIDPuX73jI7T16mUXxUhdNfUIxLGBl03C5gJwp6qx2bHIYU446UejoDFCg6AWiE
IxnjgdVUI7ws7J1dy+n7nkkcCEMr954St4MgvwaLkV/mVRfVJJtdbxcIMqcslkcVLg7zh7QPF596
ZaR/4cpcbnD02cHgQSKRdTEdmlCcSpfMYyw/a8uJpuWjUcIJ3AyyRaNkp/R6xydDsdqtKg0wAd2w
wuLoLybDOhwXaX8bjZVx6qp1J5hKNTLs0PIBr03Y3Ek2qUv+iVHTTHfII6q02ySsUxVQDo2H1mqA
doxzSfCRpT8vbTtc4IqaHwAcWbu5VfGN6YFdo7ZZv3nObrQ1CzsJEiPNd0jwB+g841zcRzG56JTp
wHMU/9nRG+OCrIHHKgNeHbndcOWKeecOOb7LRq/IG6mGiEaj6O6zOnVuQItatyE0aTYbuxUG442e
b5y72hJ4PSpUKg6xpdcOb4BxW8BnzgJLEXZAGBD7meY4JCdYz7AV6wON9ktH0D40+vgcucvQwTEC
whM4UP58IbF/U8kt4rLTWg4gqkST6doLSURFd/DGsnsUak6pvOCWbLXBRB8KRZXgEFVKfg/ZX0K2
OXSp/ilhDQt6vss2C7unsJx16qH2cc6IUfJwsn8moHI+GXHtMIB240Bm8+oCkwE2rOiO87BVUopU
+ZVL5sM1ln5MfNgHYmdTF5V9jnpl06bVQuAGzvApbENMwU2VbmVkT5fYer53JlwfypbFxp6bRDfL
mKrT5GG2T23LR4Y8XaK2C4lDteksl1p4a1jdC9QjzlOdkx1jHITRxdjp+XA7sbc3r+Bo1Gd9bPq3
hHHmrU1xeZH+D3vnttw2kmXtV5kH+NGROAO3JMGzKImSJUs3CNmycQYSiUMCePr56O6Ov9o9MxV1
3xflqAjLIgkCmbn3XutbSWs/0aDGk+jWw9nt8Ayv+7HikmmOh3eDJd410JoLRn0jsrT44dTVu691
0zHNqdvDmEO0KRkp3bPxmSR9qTl4C5J0eF6IrWZuGpeR18aI7pYKldpeOIObb9nhGceUuITfU0hi
8H4J85Hwh8jbIsFHcdzlW46wWVRRVnejeBwx1tNCS8VZMgWw15PJfGOU1oN2zbelC9+EGlZKgKhX
5J3KfehlMlw7ftqqHTZEaycSy3t14+A5ieUPYQ0xqhPSIiOF+nvvluMY3KdgnVd1yDCdJoe1T1hz
rvwGGF5Ivy+Y705MuvSBVNyq42aGD3RL1NLWXRd2S7IL4kkl60HJtwpa+3BV/ezzljoQskMMxww5
lmoLyWDXHjfd6E1bqqvd7NjpoSDion20yFGt9ihvKwCyNPxPhY1FG4q7rMvVJBoXC58dR77dpIe0
is2olb1eeb5hbEzpBa+OAlW96pdTLXxjn/RdivOkBEDqWcbWjWei5sSst5TSt4jgsvg6ufa8qfJW
nxANMULpAcjFs0kUd4eytKA58QhSq4hoQsFgIHadUXnhrEnKbY95YcNYGga5Gx0cqyMJzneauRdX
IF+W57YU7sHFPnlHQ9940ckmHcoTLrgEElVHmZXd+uyTYVMtyRNnm69WPHmbhgndYVriJXL5qRN9
p+bOBArLeQZjNCq6prXEBi2k7R8KbwxYqVT7aIfKfkYll649D3hE6gKCWM9ymXexQU29DsuieFvy
cECX4uuT65gwt9X4XhaklqXjkE70L+jBImo1V9MyXsolmX/Ssxv5W9/fpriQS0hucthNcffdocOy
4XDHTCn1anPTWGI4xJz8AB3F6kyO4jsbC2SUnkZJTeuNpzRuboBdqbW3rqqs/27V7DaR7/jdmeNb
uB0T8ynhgLy3jUqcMoysa1UH+a70Oemmi9p3nBNXJhtsVPtEsZq1Me4tVYuDmH0T3kKRHjztTJFH
LsTJ60nuYccOtp0U1nlAdXmaaj+LyLu5xh5TCL9LsEcjGwyIKMt+Dtk8wJT3AweKMGuvNokPCm2r
PbTEVzKOgvOxwfz9oEyoJc1kzWuXR/SOYPEMd/lE+mIpjfW8FCHw1cw8MsuBAz20p6kig1kQVvXp
NmpC0CB1lNMkPgNXTmjMOulBLeE3qMfVIXHVJxjZIRoK/a2qnCES5myibmW7MVV6CEhy3w+6tDdV
HFxGuopAV+0LYVBU2szuHslzqrbK6C7JnF8H0RmPOs1R63jIghi18jSWl8Snaz15BY2NKUN/uPLG
ztu6NOo3DmmftDvGgcB7Z5q/OMU8r/TAdb2SDJd4xyXv5+Fu7kTSRBY7p1pZ2YRdtqdDAlPR0c0s
Io90AnQcRNYtT1UmQuOr7qxphtDiQ2AHeQaeYSxqpDpwTEpwfX5vmvOeqeeT6ysv35AfzVGmK0rn
MtIC5LZyTRK5c9JxVsJU1Q8mMxMhcMPSkq9oGemGRsXyastheq0IEjr6UFdOA2mou3Y2NHV75U/e
2pyL8SgggrP0l+B+pjHtyRkXBOZVrJhBYXgfcx7kcBeH/DgS1GtDKfOrawD+9ViJqgOd7Ua+H+rt
bAXJZ2sNTJ177T50c9BiO2/Nra162h4VvvkVvGouUDEX0zYVSfLizDFZ9zm6fqJvu1/EaGefqQXW
mVjcYaWbAZcNu9uiqXOlfVKYudOoB3NrdisS4+hps3OJrdvd3PGwtfG3dz5CzKUo0+PcQSBhDNWN
wwGd9nAq08I4GG3rcfCDjl+s0N+ge3cZaGGiXtqMiSECkgaZMwHE6BA3oCrEW+fmKcDDXOTY6FR7
zUOGHwAKoJI0t7k7M9Rpq/CC7LFkg19pi2kUUD4Ys618Nfev9KlChJmhea4AQLhMf6b562Jnztbr
3J3dg4NilMqAHmYbSettAXaia+wR0LehIUJkXRLZlNUXhyBioFKGz8i68qzg4GSOeCVxO0fCT/G2
TgY7KLaYh2oolkUv1iQt9F9ZvJfI5iKdgN18c/yCeGPfFdWKbzRuV2Vxy9oLVZFGuh9o2agBYEjf
M2AhsDat7hlvByY40XSIeje9k66W25CQgDMaaffgpYGEi4D+4bErIV5HnVuXO6dm0BfypR2B07Tj
poQs8DnFQfoecub+Ys2ef4odksPW2Tz6505wNNuQI5uEd5Vw4U8QodVXzIJgbALFS1xnWxoLVKCJ
Vqyy5kWtYZd4b7Z0Rr3uAqn2GZpZ9hIrvCtzgi0sOHLrvs3MD9bT7Jhpw4xg9Xpfx7EA5FAAZoy3
Bhl1xDwIOFtJX6ntXPf2FR6qHbmeJs119osIKCnNxqkaIncax9Pij/oyd4m+dn6hmMvraZ27SJ8a
kkA+CEKG2Gk1Dch1+NPeSppSRa1Fs6xqpmxlYweJDC/1thT0/qdVW9NZdtlyAYIsn6Q2fSw8fpP/
bHqzew5rUX5NTGgHG3fOw2Mzw7/P/FIcBenuW5/7FUZO4j3aS6/hWkAtsRbBCzDCXpm+I6O59k3O
/kgCiN8Y1o0PEoiluaq32pPuLi8NyE+Cs7gMS/3MrNHeGkJFvWzz+ywB0pDn1XjJfd86sUiMGx5A
HhZ/tDiwsPLZhcrWqdFKMqNzL5odsyKLcJzbVYMDnhODk59ALsdRWYmWA1Rffsdm4y57nwzgKGvx
mhHToz+9aiKwV5bhdDdaFqoITare9ldR+5/6/0/qf4RrJsqo/92Devj8SP/Ft/2Pf/FP47aJmRSP
Jy5PqjJyxP6/AxV2+d8s2zbdW/Ue+BTk/6z6MXQLEQphUaa7mB7oFfyj6v+FUUb4xUjEdW8RSPZf
qfqJsfpXkRdmFByuvC0k/djfYO3/q8irMON2cP3Yu9ChMg7AZ6b2ROgl1QI5TjNjqBtYv7DxFonQ
K5+WTLrhN/yCP1LUz0+shra75oF/Jndnei18IztxlpzoVFkkETLT9IKKmrgLmw1Arrm/MihIINon
Wrdf4DnEBhzOrLSrUxFm3W4cyzwHjJtCFdFtGWwZRtaHKp6RguUDSB24dpu6Kh2gV7Bg0GxZVsRB
9LGQQONXudDxubSlPHcDsRezN7ZHK1T6kwSFd6fqg08n7MRbqRt/J2Qm38ErC+rcymP82H3Y5L/y
eekCwgu2FEziOZ32LAvOli/KuNS5ETPQJOEuBbdA20GFVjKSeykHsxrZR0vUKVam83sjTa3XEUg6
Nl4J0ZNyv8tScZ0xkVx7jhIbtKmvpZuFXyZ3mu+nerqR/MPXaSJMfrwRv+yxenRyo90Tb2ddVFWp
w0A24lrkWN8rENYH10uzu9AoP8K+Zb9H+xi5lBanlmS6XdkY47eu8OPDTKb2Fhhw+QP4h4qWPDB/
3NyXxF92Cuiulf0YBovtRmfTV9cMWLiTjI2yJauEAWwZvFsW+5Lr57eIyOa1yqrX1uCla3LoVyLV
1Ns9+dmEPpOCW2QkIUm/AsiiAdbAQBldk95PWD35y4S0nImMPNzuyC/t7aDIZItuDNmwxR4fAIVJ
6vtYd5vR33AkH+2dYJo5Ixic9LDyAHddncIsHkh7XO5jnQowenheU9sid4SDs8urAHRlJu7snLxE
CEfOT/akva48u8jqzuns2XfYs3D1pLF+0KpV27rriBMPnLKGyGT366Ew5M8Q2RtYF+2Yu8rP9Vkt
6AcmMMznPg6QlU2eTj5TBsnrUjJhxLRKrveMpv5kypDZEenMggyKmQOxCmF9qdoS9br14LwmAUN9
e5rxztBzt9CqFO3M7NUnnzZJ4QynFvoWAwA1+4AVnsYKBBvVjsM4fmwbxfEB/H7Lm/JbuHRE3HZf
EkUy1Qr2b/qzGZYmgpoW7v2s8M7KNT69hYO5TTo5hVqcMJZUBhw5ctEBPKNS2fq5CF9xpharUfkn
GSN6I/om3ZYc6L+NnlluKUK870UbL8dlgj+99sbU22nFoF6Zvf5K9pX9YBSxj2Y+iLdkpIbJui70
fGrAE/drwMHNESKVltQaRhrNCDYffJcchuUWoex5eFgIikKHxiDmSrHr7oJSDy/oXhqUdTVK2jwu
jJUfJtnJkAxQXdg3FNAhH4m4K4o5i8AuvDsaeYoa5wgWUI5xMp6jDIDlF9LIJ6hAHKlTV1DThiBX
kGnEd2lQqwePChQKmXrOOLVfQ3vYq9pe7vUgNBRf/4jeMOMszdHzkMWVZlrsNQ8Ibw3EeCY9FhiL
8xN8RHlXdaP1bFkkWjCybjfGrac0aKUPwZyl8aEWof805a21Dmn50AYUd5VvRKJu9GPitOo85zJf
s3iKC4PlmlIFeiXJZTaLQhtuEluLw9Kan6Z2vYt02vqAENg6EOHurTKzq9bMXK3i9iXvFI7RTZzJ
Z8OXxLnOlt0/LWE6/wBiL2l6+jPY7cp5BNpZkctgpiP1iJUS7usWO5RUcsPJHLGntfSnLB2mL3Up
nG0r62TtBaN3J5ifgLFnIQrxbG1ixAtvdnODeaNXXRsEItEM6mdjk3eu98YmuKDGCY0fZt4aqwk+
E/B3Z/iZx0ZDQEvWXOmVmcgYqlXftOIjWSpyUynoNhYBHziZOwO2EorhN2tJ+rOqymvXNMMRVnm9
tpWSJ+QM/cNSu81WT8HyIMwsvO/gmLarnu5y5CSe2lVOQzCaPQWbDlz/ZiA99Ecy12Ok/en7QBj1
umDNLFdxoWFvMRo+p8aN1s+p/VUijF07plyuOJ3DTW833htmCp4N25PIHgMEOVkx3dXpYLBgJagZ
3Mx5L0p6v4HfZhczruvdIhrzQ1cQCad++RIPLOmWnq29O3qSmsKIkQtl5oRKaQkOVVheF2EeOD0A
BVQ07SPKDb7gmkzqjZ+Nj1oWyasxuXgq4L6vZq9OH3JQaxD320S/CGb9x9Bu/WMSpPJXSDJQNp0i
FujFuSP36rosw8OQZOg0SjSDKLuKtcu995yD37uJE1c8EtmuDk1kQ8CBDmFgXIs55FaDZB2sbJtC
AblwsM8mb9jSwi4j5IDArIL4zICv2DVomA6xyANymZCX0Ah1DjxQ6Xao0CclFE0rayoRvgZxdaZn
wfKtY/2RZkLuDBJRTgjR/O+mX5bfFITEi9upx86u3CfkzV/E7GA3DuP2rDVNLNUbyy4Y/CFqXX/8
QqzLcHS96iOn1XBIc7wg1Ic3v/lc7Iel9L0VYSXdkVR34pWzxLkSh9g8LDcxIQJMd+QA/4iUxnpD
+KTPDPahV9pmPL6aWWbsy2V0z5XMYEVm7pYYz3YtLHQhnvMyGTTPBXphGq427LlkLJ/DIJG7AZXa
PVIFsK6dRDjaxj8CwKJrDyr/LuhCRohpV+47DN3n1HH0CZJt8nUMO4ap3dhsoOe1G1hAy08k5s9p
VdfEF+T+UxHzFnqz6EnCoFvg5fYdPdE6Aq36DoLcWFWNg/BQNucSfwmaHfrisel8KduiPrbo8yKH
Ht4Oh3m4zaYiflcEHe/IEVTvk1EDBg4HivvRGg8+8RLb0uveNU1jeqBkMyQU2uDcoaYN6YcxuPNG
zZjnQfwuxzBEjV4kJQHkJ582L9GWDUWRU+J4wvWHHkP45Zfc8OonDlXFqW4DtnrXRAucaTqK9w3F
3A47uLygV9pWni13wSTUHVpCpPeTa+zS3KmAF1rJ2UfoHSkrH/ZJnGeoyJDMgomV0yGFV78l4pqw
mTx319rR753JWovK05U7TWz4vdR+DgVOmceGlOstwRzTxxDEQQkpDr1hXHSeuyoIAapvsxUHeOAy
fa+LVL57eC0Fx9yPKgnjDW/kJ9kC7Tav6pDwRZIHCDIUwRq8II3khSDpNUmUFchSp6jv5GQVa7tw
PMSgVZuSyJ58osGy0Aosmi3NY0zshgI5VJHfc+5d95kot5oB+1bEkh1Ux4QmsQ6s2YQluZR04GPb
ED8D7FGrfi5HEtlw+EM2SiL8EGrF0YN8v7J4hDpa0Bqjg3ECBcyoubaYUvNVv+NBTPbWBPbSrwdC
r5K5K44KQQW0QqPbtLocgLv6sf+1TYWC90QzgzaMePQB8RITNic5IuXe/D5Jv7zHUMGCMFrl2o4L
axvXC6aLp2CKhxwkwRikzfdsqEaU/VVdhtWzP6VF4RzBambFqZ+CsHnW88hVQ9QxGcCWwpqT8ipX
aLVpe5amT2QKo/cN4uiCHCQIexujj/Mew+k8/ZCIbj8Ba9M8wh8KJtBu3olcjem7jfIQz0waVuaI
KxkpYnYcxqC9ayU/3XReQ3A8fYdiVlteEacKwMMNUnFrl/nAd1eJnOpPFQPBbLIpOHgosniCKeYu
/uA9LymSgFYR++GU0PVI7FrkCVqCjtwlVFdQlDYdOkJDDBj/jwLyNPoD2hTEyehh75R9cFsN5g2n
PmvTOBxhLN1BZLwFkkA+p9dZutZJ1B2qoltmSYa2LApuOSYu4Foi5g1eTxSyARUxOq8d8pGJYaKs
ELKYBkmn4MFJxtD5VdOBIl+in9+0G98nkNCTlaCh8DShYNuMeUJXrR8WcQe9nCz7viOZ3i5p1uAC
8QZ0JJLUFXbhHCMF0ZdYAjkjM2mpjlOV589JUBJmzNGTmqkbL3O9JE8VTWImnVzsuIIKZoQ91Re5
DRAZ4lErxDTTGHmDJCQq79qnOK5ET2IfPzosoXsoOlVf+yRkGtya7YtKlfnVRMn5tW6Sl7jyxdmx
UM0g4hDG3rYkYtw6FBiWR3Hyw0o+oWruIC7HsvbvEPE4j3XafviLQi0Gu5n+s5EKohZxO2TrbElI
vBFMl++Lci5fcyHzL0FOck9ghURvzoNp7SiF+i+FGvTniCdgLVG3IWNJ5IZ3VG9zlfMQTqpeVsrr
XRqFLbpQWmyttYHtob8xrkLF1hhut1K3qJ72V2pPHZbZVdH7WYl2QXuN+tWKuoB2nOVjrdK30J/0
Fv+DrzQ7VLdIIHRet8AbYoI8YXwrg2b5kibOLbPe9Phw9syiIZiwvhYsFRZ3vhbrJfeXe2MmhajE
6I6ycCyvJKYGG3vhvqKrDDG2FVjObzFGkpPvOsvgfdZ5bCKLxP9J/Xk7yJquOjMGYyBVi5vaaUmi
kK4euagdTrX2a9ProLoHI9zZmBI8irHWZBdAMk4o2HpIve6WSOJ4y6cx32KXzNDI9x5jM37haMyv
fT3J6XnRRs7+avQUvD2qys72LeYavuXDvrXVpE9cEhVgkUja1FvbndnQsP5/lTN2qdMb04VQV4ZZ
fvtcltX08of2z8PfPdT/VQ/VQ5PVfQdx7DdrtQgETCiixxFtwBhw3d+UFLKddA68V19g/LgbI7TS
lWkRMQ103cDOFifvVmXvxtwCKe5uDUdt3dSMSLO5k8MSdU0P6tXYhSSrFCjn/u8395vK4+/vDUmL
iekbXsfvTJnKHNtaxJa+SKkuvuSsGO+z8fLXXwTDPPZb4YTC//0CuFD6KHpp9GYWBB3+88AT05f9
T0vy7+qhP21JkkX/h2/k3yRJh7LMarxlf1QjwYa8/aN/cvH8v2F9sNA1uES80X3kr/6BkySJBEaN
F9wwH79okjQs/9mXtPgr1EYBLASf33frJv6jL2mDk/SYuDGyZ3QSYjr/K31J73eeJDAusHshzxGR
cXQMw1vf8g9QmczLaN+YXXqcWpNoQC2RxxCk5J1k69PqmSdCgp0hD59k0WKeuNmW6Y2NgYuJv6OA
3CuzgtcRNCVjxsV36KGjedCMFsX0OKDxc3ZmDrLxsQhz9doibXXXCOqTfD3HJdbHkawMTspVwIQH
lr61GpjsOdi0Bu8c5gT/rjqtlsNiLj0imbwJI6oJW0Ujli3yJnSD/60jj2rlBEb7DY61/519edz0
QYhoehFwI8l27Lv1HLhIY0waTdY5tHpi2sLKu9MOatBqHK4dZqet38FnWHGQEzYbu5k9yTyfH6dU
9BeVWBWxQGitI39qDDTqwZS4BAOIhGovl9fSlSNuAFI92ZHnfQIt6mhJlZ1YdndTZimcKk3WECzs
korbpQh2e20VjOwgQm+d3reYwDGfyWxVPpkW1towdd4TPBL3IDvDDeY7+2GwcnUYIXhuUtN6SL2l
22Arg9E9Z1RY5DM92BDKL3atr67gTOuWJQYiOfnpdywDcudAylvTwSpOzE7xCHhTex0Vi/pqSLPk
jmOnc9FpbfPehmU4C81MqGkusVTVz3z0mPdDnNp2LmgcGmHdFW4jqQYx2QgxynkymFuU1PyBbvo1
dAxzpehQMjBxj6OGu+xjanvKVWdf7SmcTrb09UPWCRxTRfoth0j34Tae3rBpnGhNzQgmSGXxsACy
k0sDMc1UPZWqqOh4ld3FsgvyorkiNxnBoyrz/mJMxbAmbLj7UqDGWDmdNV1mbI0byRg9Ml3eqYE7
YXOLfXleYJVWpKoxD17nNaqtW5auiujaEOOVtuI4i+Gz5OeRPTnloz/WqJDxnYZXH+PmY4D2kxZY
nNN+x757cQxamrlkRynwSOzQEdVXBDsAx72hP5Mv55zm0lpJRUQIR/furoGZ+EYfEBCA0fekad0G
uBj1ypZif3Q2bVHoHQd3csHb4eTBqTyK1Lsbx65Fl+0hrmkbRslBPnHuqsuRgEXuQZyoePmG2AAd
vfQvBjsCiXxXMARiG/snZ0SN3LX111kP+UNqq3ujx3cwq5BcPufK2aOM6kB+76Tv34KDXuYbTqa0
uveKjL4tCtx+XleZhRqF7lN9+6bmTwNx0qqBdI8wQrw6QzitRyJi9lKPxp2GtRvFg0w2uXDeWAy7
ewup4dagKw6JM3HJJu2cFwfPE2ZeQvCqGL6OYVs8VsbR58i2Qnj+hm+mjQa/UmhLWouD73HpURJW
fbpqe2BnNeDymBKCGE1EMk4FmY3gNa0l83KdT2uHo9CV2OXyUQZuggCMy4zuwz6A9Zoeq6lcdnUP
yR/LD2GvxeTdOWrEcwD8Xc1OXGxoQGqUGv3LYM7G3mgJm6NpnZIlTf3iaPHE2IJcp01rUhc/zLG2
qzOq50ulgm8NkQGR5y3hc86pcAvdEQ0OQSAPsx1k927afdSOpFuDQgn0uPnhydEFy6hE/94pPvIN
+7tRsrROSVlTglsut7RIyIWonJLzXVo+zCy7q3S6cXIbks/Wfj2/L+R2YqFhfR4H7sFsnub3cEY+
gudFtE+tmp5qgZgygdR7TzwiIMAx5Fz6kBBVcrAlNRHTEofDXukiFuiWvDmQ2IJPjRMbLDxZh9c+
93+SaaPXiYXqXBPuSVMhIAUb7ARlFaz0qonXCFyGicIZFR0TlMwztuaCTzWw+mo7pxgDWNxpZ07D
S1qiiHD2M7mGx6oW6cDeYrTfCwNrEQnNObADspws6gMV4BDMmynYFwMNkPPkKO9xYsN+slXMI1Jo
bj06VaP7tTMzdUyXau7Qmdnut567P1ubQ5vQhzVi38E/Kf1ri32eIsEU6og4KjiSHGBs+zCvE7DH
/WHO7AS13VA+4XS0EcmN+P3TIubGDRedvgHE6KLRcioEn0n6QbCrCCEYK2BLydw758RWREX6jqQd
tmiYjaOk0tX2OJKGMy3Go2Rp/1kXDkdziD76rh+77mGerFZg75spnhezlsQuYMOcVrCKhleBBeaj
VSJ7Y09GBIRI/a6zl+qeHIDwp5jSARt4GdtXA5X/q0EI8qUS/gFOCWOqyvY+3Tp0s1WW2u2wGtyx
jBIc/Qe3GQ8IASokC6Y1b+ZS3caLMVeRRl0avAzj7KLj7MpPA8FJfKwGCzCGJzP9GCNeeGEfCSPJ
3GM7MOI0aP74MgYraZKFpggu/l5Q1TgsRkn8AthhROtE0YMkNTUegLZ3kPTsSr1hGi8udimThLu4
d3zyPqrlEA5t8en0bXGVGrtIV2qLurGODwysqo1ZpDysgPXb+6W1cSqQLR3MKwv9SxXNVkjmEEP9
N1fPxDIFafseODibalIuAKUkYQJhEfXRUZn5+ABngi6O3SnjuyNmOKI4lCBF4UHcDz6G3b1vaPke
JlMdoCGLh4M0e1tv8ixvaZ34Vf7aBplD+mRj99fcYfqGWctuL14vywPPHJ4GlKroUmaHCp93TpKj
r8RbHPaxE9WZKKaNORrubiid7IoyS+wYZJGIxcgC2GRAVhDLMw1fFxM2rS3LP8+6b9H39t7Gkw4R
o+PQbUqLGw7RKEG4oOmjVrjtGlNwHwGzCJ2V2clHc+j6Tcck/FwaI1kUfgw2afJzeeh8h3R2lFfq
DWVlT7MQEbC5BnbUfC1mS9ZRjzemxYDbLj8gd9h3sWD6ZFveNydJwy9+WlcfpMg1WzstUeexxMfV
itT0hiCSsGBFZDArDhn8nLtwcfx3hOblXqakTK6txF1wx9uz/c3XzIn72LRfyGVLyeeu7InGmGL0
WTdkmuLL4H8LIOXBHk/ZfA0IVRnXk5WaH2M44pojw+md6rx/dMOeUVg+WeJtWDhARoRzDtxLokNB
ihDlM2yZK0Vx5SUExzV5/BXWQf1lXnqv29p1Op2GbpipKw0kbIsikb6CenBAa/ggkJyRreUj5Bs3
TVqNeM+MSAeAL+u5Dx+dPhSXwXcSIqkgtdNGk9Y93ivSgU2EjS24drly1eh8g+JpoTdvZPKCJsln
LFdpmsumYZuoKLtMYCxMkkvXW0ukgeQcrLwcd4vj9ptF2iUaXTGcTSaA3oDyLs2tAabM4PlAWmg9
r8auhhQHgv1Lgirhm+c08XZsBPAGvs2lW0vlDHepNRUkndgF2ITYpaWDOSN34FA4+ackZ7heUXzW
K2mkJUuLre8axkavZTyVzzTI0p3IXIP6IB7OipkOXVjQtScUTeE6EZwRyQI9EiNqdNtatcM+yEIo
8yBTi69d4CPBY27MFCDN3D6OpLS8iKnocioMUx418o8zn7A8W4Q+fY+XrN8iT+0BEbTjFgV0fWjL
xN5YxfIqZ0baa9jk6iNhQPNgty3DMZGpw6/S7z/CnT+pki2mYZSu/7tw5/JD/9dbo4o/Vsn/+Ef/
9OyYfwtcpBDodH8VyT7dlH9UyX74Nx8RDlBs1K43jQ4Ysn9WyS6hC7R/EDEgHfoXz44jKLtD8hhM
W9z4nvzCvxDj+VsvxwmAAt+qY5t6HSfQ7+hqc/TaUaCdPfAw05Ur6sS9t5WWl6XUwZ8w9G49qz/g
An+9FhQ5SPFB6DBkuPW8/lCPj50wljYw64MPveGyjLN5yQc7fJm5AmfyB/8invD2eg6uJovlFXXU
v+mSFOds0pcFr1eZSBgR5+HKy6fFvPTTzXrfx0Rc0Z80n7WH/fMP98H/0MH7TRR1e3FoeR7p9nx7
YMF/+7CtITosvQRALghAP6sSWhMzhjE4k0E9XSewmy+xJf7sI/8PlxjhcWDjWaUh4//O28JwmCsd
+CQzVubNpp/2nyN7MYlFGbb9RMx/+QU9nPeCl+PuFcjJfutT5sKYpNWpcJ8i6z/5t6DIGXhKVAW2
8W7Ho/f2f19W89+uq8/8AWoomQtcXOt3TiAHaLEk8TRCV51avJxe3Fn3y9IKgqU0Thja6Jl5CVC7
Hvy5MK9EJtYvtaQcX6egsBEm+Z1/7WcESRxy3WFckRzZnU2K9q+zFfzJXYDz7feb3nfxNfPsAw8K
edidf73payQmCQLrYe9C+3Wejcpy41OXlNDQcACROtkmpj6acN6whXS9az7zDM5XIyzV3qIm9o6/
kBHVLF3WeCiyGBxK7qUOTMKpWgLzMmUpedWjsMoqIj3UvMAr4jq0hQuqaLA6nMWGym7zNGsJthID
7cVQvqGoOEVzksY8Xc3emx7iLES1gPClcb8Foy3xsaqF8UlQtFZ+UrY7PWDvICovw3IS7nMxGvA+
0xCQiLIUt1yct5RofjcbtPKtJTURiVGAUpIx6c4nIt7C0Xmc6lmfKX5KsGRuDugFuCgR1LeFQM0V
zymHnekBjTwm+KJVARyBVr4NgF7eFtxEB28siDFHByzfOCiND6LraL+E7cLyRX5iGOWmcj8CxbAT
MS2W82qM5Zud9tPVICX12e1vGI4lcz/QRlr1oZ7D6c0DOjSs2XkxKJJgNV0HR/FJycvUnA87XjAE
YfViQW9QmyHQ7kc5cB2xu3HdsNA9DyFf2hK04QuIKvcD+td0Jcw+jFpbo50jdrcP1uFkMMvrxni6
/v1eTfMEd3Vqw42/Q/bRfWLqxSjsuHxYax6hYXZ6xBNvqLlIjyF4jepQtEaLYN/DDIoaHDPvazrq
8CWQrKebvhj8KYK/yn0y1p7z0SDMfkuZMD4kLabukGbIiywrtHmY2bkzCLow1g7BsScl6FqubNnA
pR/Q32xG79ecxuogmdBvqNZJUyztdhwUX1KYmgCT0hvPQMvbZ9UORjhCFtT+1/V3pt5d20PgRClk
BeDNRtoxGuaI+Otn+jiuUWKKnHVjSWG5jfIRnOa40UkYbof/Zu/MtttGsiz6RciFCMz9yJkiNcuy
5Rcs2UpjnsfA1/cOOrPKVlY7q/q5qtbKyZZJgkBE3HvP2afpuIFj/Xi4fQbCCx1dGJ4ErrN6PXbT
wFCDge6DBS2ytVa9b5nDqs8Zfd302MlrhyN0JudHCnSAXjRc53Dc5SnhtMy0+YEyT4R5nETvjTM+
UKOMabSCidjTFUunTQP4JnyoOVXn9DUdjq3IcfrwLJdAkX8pmc0BvhvX2P+W5G4iSm362HH5431X
luO+kwTQreCwgbzxRwpEvN3Ab0aH69w91VYYb+cEoEVYBpB3iL5saBIcJ6uxd8CJrRuH2n89jtMh
pJ9xgtYyP7kEpq7jOiQlWhoKqRPT/86LxafOlM2mRpC4IhFU3CJr7x+muOlgp1Alf+6xz9jcX91E
xACy/9Po4VGyfcIzV4NJrODKrBC+twPOEdiiN1C8vCusrejCzBJj7ICh6CxKpEYr7t2uWi0Mcfca
kPkWJDEQvM5A9rPh5g6uKD8Q4AWMxwKE7174bGHpLzfCsD8QwMSsr21eS+GlNyn9T/vQwGIc+Y0W
N12L+YbedAahNBb8y4p1eX5gm+NelmEZJwfXCNmlAQvtVdfXL47og2cqamQ/ZFZj6HDGcX5YiDN5
poEiULWJ+gW1wZwjZ5xe58qPnlPHZcGsZPYE6Dr9iD2HBytQjoWuqEsYxVvW0a8DmMxBEJYbttHq
yXWKLXF55YZJtx3thAWRkvDBBaXj0tXic9EaBg382B78I0U9aYprUXczlhtUKFeutKwvSzQ67hZk
5VUe1OF5MurojsDJ+Bj5wRPoreY579tXVcx69U/Ec1eQEpgSBnxDWcE6D0YvuQqqWn4ejHCY1hT4
lPnB5D1K10enAL/t6FiDgfIOZeKa55JGaKh9ZqDWytt5gC+2W8gILHCJbKoZJ8pqLBDb4eakkWTk
tjOuCissb5i92l9yYfH7a3as9oMTBzL8EvgTrZGmqcNqt/ggjleUMQN5A11mnJEDD1y6gh7p0jvR
J+xq1QH0BHGVsWUi2+uTvYf/IltDu+teaGhxFql7xz9bhEOsMzHytTYBNKQk72wWCzuP2pvW79RR
WalP01uxLRRVWmwMejJvZg5CwQkdlrfMXbhpmoE7pYuQY0azoW+lAQTYJoorcWORoJqsGqI5SGEP
+HNGybtxe5KRcIha1jrPAYeRRUwMIjIjBQeVdOKIxJiSW3C2ouDs5nVSbCKZsd63Y3tQMTra9ehE
XbcnTcc/BzXi3dSveOWUzYRGhQdjpLZ4eddBfb736C8dqpYXtsLFfl1UyoJ/WQK9GKjTlhRwfetP
Zh7f9VPpl6uhnmx8PYO5R5iB3RE5WvdWMg8gntRquSMk0rJXL2d/7Cipp00BchJFUlPRws97x+PE
oKhr9t/flijpOeybOOUkERoG25cHa+bU5G17wD8y3/WjRp+gRmS4kxMqKWlAlh25woU9XwuXGnmN
OKd6mWRTx7fSGXnXSYEqYz2NCy9ZtonyHuymzvGcMkpHmbXK46hhCDT5Jl5NqDC2ezVkHdK2pHHU
I2pN58WNBQurwvN/nuoWX06WDwB+rEFET5PHmIl1M3fP9mL5HeuiJx6Ro5tX9RAb3/oW+FA8TLT7
ec+ccoCTBs8SMaGrU97YyRuEIE9W27A9Re1ckiHi2Znm0yT6ijYkVtP2xRC5HuiYs2G2LFWPof5G
U2Rsr8tQcMflHV+jIRqqBloRZovLFe1gsoVWH5rPwlC2Y3OdOFo+uhZMqkfEcsz91uCWoth/wMoa
uGxVdbDgR/SjRiWazWpE4kPqc1qO9vPUk8sqOG4Q3O1sE5Ne/DrMi2TTTzgfJheJUGEEnEGwM5hX
GbBanJX9CDItBjQZq2YzQ/i9ytOlvubrbx4YmmBdHmPj02wE8Hd6enroFdh6FD7mSGKmVbNn7PJh
cvgcwD2Z5Mcr0wtOtupCtPrWPRTKZGO10bATZiQ27SJw489zc6zGnlC8PhcPpc0SQy639kuMJBbT
nOxXvVtk34zEdhDkVOEBbiqa4L5Bb8gTOK1ZFb7RDPlm5Oo2mMkS4b7mYDA05i14RPPWKegrjWax
djtVHObBabacjcNHFKFql7KJbtIGx9Jsw9kze/t6lkN5z7fNvlzO+RU7X7G3C63v1sMqnyCyKMiv
h8zu6GrG6tZEdfShNtzhpa2kdVONTIDWVmRygJybfQ5vYeOOd1YhHjj5lVtpTOY3B7DhlR5YJckK
FX1KFk7pTXboH4x0+d1pXL4Qe+AR3jmONcUb6Ct5xUHbGGtYqSFdOzWMegWBtwWXiVDjPUbQCiOo
JFfYUk19jaeUm7SIWW0SVHrNesGfH8JXyGP644x3MHJz7P6bUlxXHT+V4iQtUnA4ricFLYj3ZT8Z
t2nAjldjcb0c+scZEU+rD76/Ltf+Uv0wCCBpgl4GZb9N4fZz9ROEMdLcqq8POdw/kq0Bhzw19Jxz
WvyiOmHYp3S5LIe/fl1dXb/7fAhnkCCg/rGJ53lXdVGS5xbjk/owp7n72htFeyi6OZ93qIhYv6qi
VA+uG7MWN6M+5f761d/h420+NLIHqmIecN7EewyK6mB+TcKtDujgKEDIyQVyqlddRoCs9n2E0HJl
1mAJLH3yJmKPxf3yFv7bsfvbjh1diB++rb/oWm5+H19/TnuUQL/5kX947WziHm0QVSY6FAEF/h/9
OiFxtv3ZoCNK1fQsD+aiTYGPW/+fMhZ6d1r8YnLHS0nzz/1PGnRErf58L5skEeiXoYNFtSz/ooSK
e3sey7a2rj2Sg57VZDNVtoTRrpwlZwoCxoRtoK6uIAM1glF1M2Luj7rt5Po5M5iu4cBkDvKTEwMs
rrycYUMzj5a9lqjMIKrAdn1miRs/9VnRbvpIMWutFTSqYPThxtR9yrjEjalshkmJh8HqqpdyDMfb
pQ3Cee0bJVrrbAGnDpaynXZJYWPEatMC8EY2DiusI/3eBbuGvi9OZ/JNo0rTTZQ139lKQWWIZ3+K
DvQMl2EzZ6n5JR2wH8A2zrI3pDoNPlhnhK07FfMtigyqGzYGPjuCV+xG6Yxe91ip1gZ9KzCd7IGL
8KsWkgF5NfgRMsjYgSsaGaWTbmDJzsw+eIMVB+UFmUTVMC68l35d3QccAB+WNBtvm5wIa3AkBJrF
kILWYVcRMTa13gFDRdmsU7taIvwKHMNaiNhohe127mv8uPJDX9c9Kt3NFJrM6g6hcDglF6GMLG9P
FHUW7bw2MReTgVEBL4Kuqz/fWN4Ct3Xdq9E42t/FhvVFeZi6tl+WQEf8HDwylSbZd9YDuIJs1ZL+
xNEC3dI432TNSPLtVjv0AiiNUVtwbsKAt0KqZLlEgxhxGt6GTPh3jLmZ+OPR6C2g9s0wej0GcGPk
5NzQka4OZgdf94R/MQ83jd2N+sYhe20hSH7ZGdCMYJEU7pSPV30PcMS8EapIe6sF29MBlC4YUKMy
Fp8iUqDl8jInOTT6t35q+qJYOdkCE/H+vwte2Se9+psFz7JQRPxqwXv6vQR03v3++48zij9+6k8l
nwAextZL6solwvZPFZ/5G9JTi7XHpw73+es/lj+keq4vgArS1bQF2zur5J8qPvs3jMDoQomOc3wL
JNl/svzZ3rvlj3hZOr0E6RKb5BIk8X5q4CFTMeLJKY+M+TsB28YjNWPcokzAftgXuGhXKA3ldO6l
Qr7TNWqDnc7ae1HoHZrCBr3shF2xlY4nIAbZ7tOcmdmWTLFyE0XwH9ZTa22LyJ0/FZxym40CV/gK
dUQcZW3m6yFwJlo0EUL50Hsbyro/AjGN9k4C24ISvFmLELHWspA4qpil4C+0bDolwQzpNG4KmEo+
tVCqqk923fivZdsVRwQjOC8Sdzd0dMfMfjTXY5pEtziC/UOpkvxJxtaIwKWzOXMzcK4+wYdt9nI0
lqtuzAOeVOm6X0Lfq7HUFjWKnwKa1HUF7uIDEdf+eU4X8wHboNyUuXc/DiK4NlOrwZMURZ85XNLn
sLLxsHgDEO+k4ciZkjjTemF5mBLK+9ZS91Vd4Yeij7BzjUyhgBrFbekFV1EJU62aszvDx33tIehe
CTX525xZ+GrIGueRTi2Q/8Y210gebeSOc3ccusU4EPAtruwsNq7yDrdxJpsFfEG6bLrUrK4bN/bi
bQO9OWW5H54EJflWgo49R2Hh7O1aFDvZ4Bc3l265r7XUzEuMEKicfCJib/6qssHddhM+49DLuvuF
2C3O4y78NOYFG6Oe1YOdpN6XgZ2rRkZkFljGRW2lB6i5ck/PIHwefbSMaRq6b37iZup6UDK9BnKZ
IairUWbOMwwsbFnjBnSFfwB90u5oMyQbRQoueHioNtrCtmpptn7x23L6Fk0q2C1mCZSnAcO/5bmx
72014SjGrPkhHgROgLlSr4aLexiPm2NeG1U2niD0grXAbRmvkoCs4xrfr1YN4j5dMgg6plveQqmv
rjlvfohno+5Rl9nNgSSQ7H6uGja60hpvZdFS4DVoIlfsHqgKE2EU3mEwgAzt2g7U1SoY7Cwj2Wme
rtxk2aWlxGW8zK21i+3aX0uBnghRniwOCkXSusQ+AQjFHjAk53Io6D5RVFCiRR7NMgq/WS7FHRDu
Q+AwpomHsrluXfkKMdkLzw22j/hUi/yjm7TeQ1E5KOnh/R27ZLBDuc97klI9RgNTGXylB9kk2yhU
yy3t9u4OX75fkHtJQ+Vslzgy/H74gD3L0htx3A7bPPOe4Pel26AdxBZVWXCFW19qlU+X4wOP3fqh
huaSUpQSWnKoQRC0HyQhH2hSHDMrUdCiPK1oheJM6Qw6LCmWPBZKrnsx1guwtFTTVaooNF8W+qD9
2qyN6KZRXuF9RNYvG7xRjhL3xCsO4RvwYfSqyRKsWOFWsbANe2sO1SN3rpOt/KDAxR0wRYBnOOpq
0ESX9cUzQrR4fjmaFZolDHeryh8GiK+X/nuI/Mm+nqJC90EZDWUcUblTTOAGRyQyNLDKZprvyt6z
3+CZ9dkemNdYH3DqepADjARSVi/CMNiWTsZLLvTd3FUxm7RNwL8VtPd0kA5yl2TP2qerliykhoVQ
WFDn4u4HYI3ktbqlcyYrl7FbE1v9Kcsnx9xU1WgwaJu9aAsq3r2d6YzsUFXyr2ZOFl3rcI3XLibD
J8bM8tS6KCbBnLYNLpIimPYpJ5ZrBDxAvBMAPzZCYnh+ACTXcuAQhVMm3pO94u8rvKZ3pczPS4RI
HQuyU53n2IlPISO/XTX1dgzx1Pd4qMakxnZVDmLVp67UJ0AyV9Aa8aymrF+Rm2zbqLKMHSZ68xFN
Ubp1ZbcIlNiwXFyjLG/o2VUP/ui5N73bjC8OsRHIr6zghNbRWuVNKzbZbEf7vu2XboUrNjdXBd76
r41qvrBHtTd6kEoRGtIPHxPTX0mzMR9JSAp3zK78Dw4jgnvbNkI2hzI/5gwrbwmDoGED3fVqpFnz
dZGuc4ftctN5bnRk6QwPoJbNT5knkg3dY/9lFA2I3R5R9CF1mvkEjHy5ZqZE/kAzox+bVPo5RsVw
5TQVJspo3vVGSZIQEJ503VsxR8qU+mCLRG25I/8tZYYT7Lu8rD8QWIlW0B2HvcCEtOdU7jSrVEwT
dF+DiUgOKt+zA47Z7Sz9U2KxxAdgSDZIg1Hw8fqPc2A7K6nzmSLc5Xdooab1uMTZllyXaO/yAXZQ
4sd8JSY7Zmlc7E+W1dBkQvVXv47IKq+Ft4jfx0GiOEfyuAVAIg5u11iYmHk9GVTRBj5VtGM6BU0Q
OedNZk7NM3rj5noAOX7nOCI401Ms10tcpucsJuW9sWJiRSuo2I7MXe3L/YwKLTkDbY8/otk3b8JQ
BPwhnctJoADHMPiVua4KC5/9TMjDOuHJv3Mgc+8D6bavZDmtm46wCPSP/X3bOUTU2IXv4sjugvvM
jZeTSLPqy9RFSMzmwtxmqjKPgLk+hi1YJpiGJocHYJu4Fa1tAtXAX5mC1l4Zmlsb1vS1kyTmyTI6
mvLs/pSBBuZNhLs2gz3RfzAkTuHN0NGuXtnMUgJjwnMwzm6wbhAvrJcAosCqjGRP48/XSjozc0XE
n2bCO7AQ/g0tPE/g2M6rnIkkme04pVeOLJLdrc2AgZajq2IPVWrq0xlkmIY69KlzVZ3893z/bxl1
WA8kh+v/W4L0oX+Nfzraf/+BP9sZJhwgx6QhRR9BM4PphP1xvBeCTgfNPxLssFh9d+L80N3QTY0L
UOjPc72ngUKQfhxB6xBt7H+kO7roNH7o0NEboZ9BowWXD+Ic931nENV4ElfKV9dBuRhLhkeyVgpn
NqNsMIPWkTArGvZjFNWnziFaRChFVAQnmDvVQKxum4nGmR5WpwOm8iIR80NMkMpdwZPPEarK5yT0
MSpO5jAuh6Jw7XB6AFgxU7uTFI9C6UMczng4D0MhcWJgP0eihzvTuA3w+BVXVYubI+DgIyr/G3YO
lQyHCc3PPB4jbxAJGV3ebKRM5f1mfKxHLvKjUXLO2NZ2LO1tRLOAJxxAiXWLYHNem7wsi15tYoQv
NMEIbLnqH9rCplMy5QlRHkW8bzxJHvxUuuFTWcj4aekrC+kfOdL5MhhfaEYkxLPYLYnyOF454zmo
mdrmuDjAz+MqHF5RYMHi6ApOviTUobLg2A8qZIQGiwJh8WR5lUZjorlMpLaTyjNN5ticsILq/kOq
exFxlNGFgFI/qU2WGZF6NGCQ0rAwoyyNdqFdO0SRAFqMh/34vcnBrAANNetQNoLfe3BzVIjY0oHf
8i0UjpTFePxvxf/vVPyU6T4I7/97RTiWb8lr+frjovDHz/xZ79u/eQE1hmebrAg/lvy+/5uJZ4Xn
kUElDjzdWvhzTRC/eU5AU91D0WTTc2Il+efSQDoGxTmqs+9+v/+o5H8PFMO4ZwnehRuQvIrUS77T
ztGzjJOFakZnlcwbQpXyV45aIZ0sgsAJyKPSIAutU+QKMvie1lkkxdmN2+J6cUN7XgtBu4z4h/GN
B7W4XcK5/ByYVOAQKDJSRfipYjNXIcLacik/F05oHVk+5W2bTG6vR1rWNbgvf1lnaQGRogtyd5+4
/qMHd/+hnYfx1hxfi6pFyIvb7ZnyvX2psgSxxzLC8cQlVc+voLyKeZV0Bg1Vw+Kws5kpWuaV1XuR
Bvg22ZcYaTHlfVtw1FYEM20rqRKWvmZGlpwHwzXkgdBC8MzseOO0qOG2ecVhdt1aQUpQInKRfRPo
ICukD/HZSjkSb1HRJ5wZyhwodWZk1Ved9fNScbq7GTplrgcr705R0E1fwZOUL3afEF+Aw0KdYGU0
96pOo1dJ2w6yp6xWRTMg+SnqtYucfz0n/nSzkAVz51iqCpjwzg2pB8Xk7VlwsxvfKuZ7O7eWHU3f
jeqqo+dNJPk0eNfGciA7yVb7SSbenWi6ANmXVXydu1ysrLnw71xHgFKg3/xoURuTldR1W3tS1iFc
qBXJpwIz4vRUmKlahpM/TyzCSyeaKz2IBiYaOQFJPE7jnX0TAO26NVT+bBX18Ehxy6hyEGTdEckp
PiXkcX/qaQcc64lBY1kGxnla2Af6ErdhtYAUn9BoUlWI4WOeqbpZ6yzH8xS2zYmif/wWQOSidlC9
kW26HCzKaJf5toZElW7KKYDvwQY7XuOxA53NHDh7bXRgZcSw0dlHScGUXEIx/ZxC3s11dkVTazxr
dFf6QSkObKXJQ1xn1kfJmeo+WBxeDb1T+yhqwGMUW/ZJyBTnEiUJAiqrjxg2VvVG9mNzoE8/PkRx
Qb4qkT0vRhm1V5ZZBL9DkQKV75qwg1ATTH5Cj6YJHnCjLjA80RoZn5CkuXexndBeHunulCtI2tlX
u66sACelzLAULMUmcKDPNIUoGecF2YcJm+2dN6fddSdUfOW1dA+2oprAqoWlDcJKRcWG25W4e4uB
L2F1VbcxGn5dVJF9Ted6qLY49OubFI930mH24SnnpCtSzrI5ojCby0NJYdZXAdUOf6tKEfX9ag5G
lbpwnILZzNEVgpTqV7Izejb9ibo6HElCelDTaKkr6sIU4ZF7J/yUOsj2lrVlIU9ELhc8zjlPz7ab
h/yFslitRB5i6fAGcH/rrJYVCK3OeSSpaUC2kIh+3dOXWMc4WW5sPH/nHpbe3ia7aNVVHWD0jBDW
IByzrW8B4Wp5Xh7CDkDbKoFQ+GG+eOhwT5rpnZd0C+Y6u14G89FeuqnAd+e5pXND18U4TEP7bCP7
uTcQFJDf2mLbs/DvjVHpXlfa0kcSgtzk2uZXD4W6xzopj4M2AVbaDuirLr+nxwkT7Q+zYLILrQDU
dc0XSSd3RT4TM/wmvik43Q/admjiPxzTK9gX/EmW0ewHbVEM8Cq62rTo4F5MU5y1ZOythA9k3rpY
HLXZMQZjSVovBkihrZB0ibtblA0vgbZJTgs4ePKPjOuUmhfADqu1GsyPpcBgGWqrZabe2m48UT/n
67A3T+nFlSmCzNyZXfxhvlg28W76nsLEiZvT4RtDUCcfTNptBI/lz3jRbt0pTe96vKAwKyCeqJOn
TaKFWT2OCekCxez160m7SYl0GzfyYjFldOQfUNUhVtIO1OG7GTV2r0HYdlet1Z167VhVgT/uJRMz
+swKMpiNAH3jQfu+aiPPTvh49fICF6S7DuYJwvAkVpLb6OTybZ/NqJUr8+KfJXRzD+Lf2NvYb5j7
oMRTF8stshPEzGh77hulUDkC+6Hdm/T5faYdu27QvnmV1oMkkTjRLoE220HEWGtpr15mG2ZaPrff
k4f6cUN+ULVh0Ef6onYLR26kbghIheY2ivYDGqphbXDAvpFBcu+0RsMjQTu7xYqLvRM/cot2/XHM
w/De0W5lW/uWHRpNzNfGU4AhapNpd3M+h6+x9jtL9DB3UnugE+2GdrUvmoicgs6Ce9Vpz/SMmHeF
CO+jo/3UjKUwzKSzTuDgncrM+zohAX7wjYAKdZjVzlILmtDJy7+5HTq1Zdp22sFNbwczd6t93awx
xjntE8zeDfPQByeP8w2NruxkaVe4o/3h9OPjr/bFNB5UXbf2suGBmzC/CRAa3RE5BttE+80T7TwX
wrzz7M7eaA/2sdD+9JxZx8ZA7nPrTOKzM7aYdoSRPRba2U6+A0Fj0HV2SMswvrMcahM85LE1qNdy
pxJtknd0qJ72zRv4za+cblKH0k/mo9uzRVLuuEeD7Aix+e85+d85J1sOlptfnZM/vnKOJC+xKn88
Kv/xY3/WzwIohUAo4zo+phtHn1X/rJ8lx2jLtZiL/XhM1txdZP7aDeHatmPxFv44JtvObw5iASuw
AFPYsHzFf3JM5iT+g8QFfwkGj+9ZP8zhJAf8n6U1S7U0g9EN7n0x5sWyLpN5ABTQAbyep6b7/MOF
+Rdulp/1NJcXCwISsDRLg4OwQ/3xo3UncmabEK3evo8Ngi1Lu5JPqh+D5yzpaRvDiqlfIlw4r8GY
tof/x0tbdB60kcblov780omRibmvhH1/SW4rg9YItsQk0s6CjkW32p9pfHdmq1PaGOcn34U0X+f/
iX6v/sUn13/8P/sU+pN7kvwsqiIqEsah715ecj4oA1A893mhDVK+MaLRMkFI1FeEn/JyHFz9868/
suQe+euLcqvY9GCQf1jvLndZl+EQ1YFkyS3lE2R360gSEOJ7j2Hp80U/ayc6UmwQA7GkiKz6N7dG
xZwbiI4hxAJFrL2IlPTO0InWy4L2lEoLP2fojKY4jTpUBBcEKcsQtgQt/TkvkcT++nP8rP76fu1c
ykuHOpK51QXQ8oPhy584+sDnkFhwDe4VnL7HOR8IH/C7WTxdUgtnLfr+9av+rL7641UDHg/QQbxw
8O4bcw3TS2enFfepQF1cklpHU6WMv5npTHWj3VeOXYsb4kUI+L5o8n79+n99MD3KV8vH26fNbu+f
lTEIyowWCHE+FxOIfmBUgNA2GhvxN5Ak8S9uFEuARwKkwws674fjofJ6jryDuIeQj7+ljpG6jomg
PRtaVvc2Q+Z4ZRPST6cO32Nr5mExaFHfpYxg/+br/lcf3EIOYOkOofWXu1baRhU05DrcD33DQ2ID
Qa3OUBDMEaZCFvw/HhItWeC55P+e8x5DBXiR4FhrlLTW6XKXgCII69J6uouvqWgJKrbGDqlzk3CX
B+iEbwoIIYDWUkHAtEiX6mS4+AaixpkjoKjSP/eZrlu0GyqOR/wNpUp5yhy/ZCwaxJhyd7++Vy5S
wHfLiyf5/kzBVkGr8B07Pc2jcPBVIO5Dxu/NbvGQZV/uG2bM9UvbFrChaY2+kEwcnC8q7ShZsE51
KmgO9cUvlWQ2QvNlWlCBC7wMbxfv06/f579YBT16x0g4gQbZjvnubRqIbUdaK+KeLEouyOUyc5Kp
X4SJMQMx+d/d2XoH/WkJdE2Hu5o9F3EJGo73r1j0kUzNTHXQaa3q5PSF8xoGs/6LhUZ/MBGPoX5C
Dh8mIYpOc0xhuUzM2R+TQQ80LUzpb1aFPys1WQFMg4cgIUH8jEGlOl0uUceu4eJN04aA0atOFx+q
gYL5KD0+0EL+zunXl5FP8P5j8Un4ni3uXOAi6Gf49R+WxMXPAjC+KrqvuEvWQU2Mxib1jPSWkbjq
D+WImYtE1hHNnXSwPDAmLMJ4F8RMXFe5bs+v1UyMlkwlMr+i93bjEhn9IQaQK9aUxMqC3OyEy8a0
FrohsNUNVM9F1G9Mr6paZnBKy8EDL+42pjR5MlIMVVu2AIhVWYp82fbr8n5gQHvyuyI9y8KvbsY0
9JCOVC1Gqxpg+SdBLsetqFT+1USVs8k5B5CmrhYSSxQpNm8KsJN71au43CQ9+/eVGTjAJBsrre+I
D6ccmKEugzGqOmT1XuxDJfQ8o34eyhwLlhV63iOYzNgkQDfKoAfKscGn4kQtXlYXG9va7aX/pTHA
d+jKvM8Qpy095/9hsNujRGxP+xBf7llGhKivCL8maCcIHukEUCR54Dnae2Mi0ADjRl86TOokZQ86
7Lq+86Iib9cMKuNwA6AxeI7igW034x7x1MAs3IVatW1w0UQEJ1HReqJHQoGMwXntAvj1a/KGxA1H
QBbiUdvjukTxY8rrMEyEVmms/S7MGbmS7EezKqMWYWcWsfChapeD6dVXKNNTdQ3JszkbM1mIu0hB
sQErqRGhdpTEBBEF/Ve/zFzamtgDQBKkLQFRRXTTSniALXwcpiz1y2SayyehqaRS80l9zgFfVA9G
x0mIH/Xw+OwYOVSfGUs6n5h/O3hmNOtUU0+jQQNQF81CNQe+nnUc9uWe0aOzKWhvrbmxCpMWJpkP
sFSVxqr68FXthsJnZiJRPxkX/upYklNM/OJ3MivyQzPgBshV5W0KT+cmr3oFCtAlRxhBuuTvAh+K
U69BU5LTSv6vQaz9xs9EUH8y4tG1eLtZWmrfiyr8HW5rDj80Jh+qLONKw/2vTuDLOAyxgtuv8IA9
C1wtQ6ZVgXb0A242vjEV9mwKSqEDHz1tBgoq1opEcVfCMKKLTAJbw5+BtKB+CRDKME0RC19qgk9z
bZqtv5kCkmKZoXZ89dnIkp3Y0f1ArFS/XoCTv4bONBGGYHJexaHIalRgHr3YvydJMmyHeezoDhhP
DJt1yLMLhlktDj7AuHEH7rew+ONV4/DmqDjw66Jrex5cHAGZKqoTKlD5BPVE/6YqD859j7aDGa8X
knBmB0VEKdvzXyJSdzsUGxx8pGnyHxYvq7Kd73BxWqlx5X1u8TvaWKQ3iHVYYi4Gp+jiGvWq+YEk
Njb1xGBFvayRnOH8c+iwiXpp0x7Cyu/emkBfSi1leeq6gX+8vFtSBulv42+c7yqOnbSNnARN7uUs
kuWu3d6WRdYeogjv8rDwjYzk0J+UnMTTKKACSJmqhyGh3LDyVD4humB77mesTxfLoJJce1EoPhSP
JK+UxSORuxU3Q6r/aWyVhg+nnD7NbMQanON1YjjZvdXaBEW6WfOSEvdNgmHSqYfLQWHJGqxQF/PA
ZfCdwuV/aTWigB5k+kbjweNaaMsgGivzBpGLsXarECUA6NfqzG3Edyf1uy2rho2nwxd78RWbqckh
vKpIuXJEVr/AzWE3V5nEjx3KgFN6t+js4MpV1RGnBO985GfGFZB8skAao8V4dTng0McOthlM8rfv
xc/FSkBEkTYuOcrO17aRNfgja1cLhRzln+PCsV9jDwjfnm2HN1hLRIIrLeBOt3Uhwi+5QYjhqrw8
QiJ00nk3MlvkGMTO02OJvPftCZNy0PEd1aHP4Y5/DSLBBlzaNF02lS5VMmaUe6EEBwOmv0eXb/qm
7CCr83Gqk0UW9wPZduS4AVfh3Y5DQgLxxI7b69uT7CpxY0YpO1Nma4tcOnJctf2UsKN6ioz4UMQh
NaBwS+5aEgF9cMX87yxDhxsYyyvXrGe+9DyPifeUZn6Tb/vGxIF3MQTSGnJeAbRwTedaNzwvi0CW
W/MDae9clRzJ0dnVxtAm4AmrXf3yxYR/m7Q3jmO9qF9SUVUnIjzx0LFLES1r8a0msiMNnY2c6zBh
rb9YxrEezXezitzX1u95Xs28QIuaLLjLIwyW57bteCeXO9GeU9GdpoQlwAEsOW9Fm7P42FETdXfB
DHH16APegWHR2CxNEiTNoWjRpCT9MgdEHixGt13cnkOR9AnvXEn0YY+YrJ1XK03FkzR8aoAgpQyx
L9QLSxtxLMmwAKheGuBQSoL6xY1qHvRGTBjw9SdkJ+KM3Ongs7bCgXspeJfJwI/PHO+JNrR8Sli6
zRXWBPE0NPzHiravte31KW3xJ76ny4nxsm2qxeSOqnPDOlp+zGdfnDo4l9I3GNDIYtNqR+flqrX1
OAebdBL5smn124ldPgXZbPZrPfQ8r6V2TeVZOT+Yi7LCjWctDMsYJ0GNQvTy1iSYq9bf7TVxRwse
YwN2WG5wHPhxovEf0+g1B8UErNg6wZA7D3M7lS0gcG0XNFrTeSV1kJWF3x08l1oel0Mtx4RfGWQM
4I3Nr2CO89NQ62XzKEw5cYuEGRd60ZtLkl7Wvlmmxr6KcBHHHEUiXZLbPfUKsqHqdLkA39ciXbgD
9WVd0Asr/WR2nMu9G0Yz2xoGg/Yw08r+0rIN3V/uT5vg1D2jLSbxZWNn197gc4v45tAe8ImPV3Gk
0A19vyGKqfC/1R68tHWh/ayGRt3nWj8YEb70dLkrXBwYyyqTIRZWGAF78b/sndd23EjWpV9lXgC1
4M3lpGMyaUVSlKgbLIoG3gZcxNPPFynVjJSqlv6a6+61upwoIRMIhDln7293NZwWT1cbiAjMmrVf
11a9GryamQjKoAGH3qYI0XvaR5vpL2TMFaMv6+kr9u7Mr0k2Qj2UQdu6tly+AkPOevBSv5k3Fokb
4ZruAitMgCt317QMGkxjzPZOZt146CE+cFJnUJuGhbVzmJm0jzOgW+BYQZ0UcLOJYdbLN0o++qnB
zGujFyAAWwmtxHU7DUwKWCKmeNcZIXbj+uj6zceB18zpJNdNgCndfSMntBzVHiNtPU68hO89ygm8
9GyDfd4gvVg0+9No1f1kUb3dD+NUpzeW1i+f10yj19/s7F44cD+SrGG0m1as+ofBG9mEJEYRPR51
lTWaVb4v4Y237mgH92O4VDeI5V5gqeCNxv5NCm6HoFxbx+Yiyd8BgDR4QRFrOz5H6vXUUAF3FpZH
pG6sSDKb1ZoQoSFihyL9xyKX3Oes5YE23qyWM2PMyYuoQ4Jnk64BwzgBlEYll185eE4s+KJedc7J
ftnXFvLoNblE9VXcOM17tJTsF3x7YTJkkxmvemEPxMUuYjAPnZ78DzRHKERGacqeanSBrNklGkaj
sanCUGXDa1fGs3Gf5DaPp69a/kqUKTfJ8dRySwVwXoXOzITT68m/m9jjVHpL16UhwQUJHmpg8cZ6
1NKf40G5wDZ7MTsRr2qUdnW8MvGp3pIGTrHJbtgfoPnhky7HxSRG1/iESqYp3pqj6bGIWmAheg23
EFE+xmHMCDoeDBMzqdtDWeYACfuBOa3xlyC+oJ4GFi9tcGpGiXtOVKt1nSxehBV4EK+2kuAqyGA4
5wzGc619m/WzB0mGwihhtlIaMjRht1wf580oL5gcIxZMQhFRNNml3m+2cRRegtXENAr5F3P84rZP
BclVqwZu3nPf8QoNuNLPstgoDhipd36iZ2alGlYgznbp3vbS7M2dfFNceO3IGzdoEblXdNGl8W2H
0VEjMViZK4xHYHICBTaRA9sy7AXnmxUy4/6sGQQJHdrgxlll8J7NQlkPmD2bC74xsxJ1Hm5JkAOq
gaBmc5KofBYWf5L+Q0rFeqO6wDnXLanrXiV6OjhumT2zesdTTtplhLxxlxRVEG59Odg7rpw+IN9e
Pi7Af8ktkdnHdkzorvOGMDtz2lE7FsQxoDdamTZgwda4xavbLGtoSjXCh95Z9nD1jJexdbzXPBrV
GyC56R0xmHjEkARhh32VTbqWMC8tNmVnJcWVzxhcfKguyJtRuHd13m072EIHz1kI0g0gGiW5n32q
2iG599njEzFdISMvhGeeQV6W15HTxh9TIyhemk7yJ3m1mQl2ynWUkCVkcGItzWS21sFg0juDK/cd
ivRfs+efvE/+sYDyn5VQnzLx0tQi+7nB8+13/a2F8v86lokRR3oaTPaD3zOy/2JAA9KJXIfUQ1/X
/v8WQyGGDB12DsC26O9SG/t/XR4bPpsTUM8gh0a3Df6V/+m08BZFHrVUGkoOf5r1i0ySxkRajKyU
3zabR6qXZzFbKCmZ9Yaeo8/vS1T/dMEAQzhuS+puvnVSoCr41q3dVt6Fg2B8Q65DdqZ09dqHFrAn
weVPhb7TOp/+ggFBAqjHmOtC+6SyqJUnCIECl1yf1H/O9dHiuFkV3vSn3ILT2huX4lHTEqAhYQbm
KYqrT+EyjIXlXhT6DJ4FtKrQjzM1+XbCrKpAsgVFznyFZODu93f1H74lI4kWIjpc2minjvC5I5HV
NHr3QtiUpYFQ6zK8V2s7ScI26vcX+6UrwBdlBFqQ932Lcs5pkXFpSkG8dOZezA3NPI6Amqkz5yab
4WkIWC1qynDpAbsbxx3Zc0hmDtT4kKUEymIShP6HWv2vXx8fvKYLhlYA9f9U0JdbKedcxB4X4RHR
FlVkUpi0087+P6+FtIrGK0OYgXMyoJLcgaUipXvhCEhAows9JUCId3ckiP3+Rut34cfiPRJF6vah
63kB0n7ztNOTsRtn+UHaMcXpu7ChfXGA+bddleNFaPAe/84sdfJCUth2g8Eu3QtVULjOw4lSTwgy
fm2x9/5Tt9PSd+f0K4FFtGxk2dzC04YSEHFrUiTPXOR2xub62ECxYoPdd9kLiGtQ5Z5dX/KS6oYT
qD/nPJmQT/7+xv7DCPZNl2mPkEb+gU3Gz2Xy2LbsOPYL92IJBx1xUlsG5nK2Rq0hGKEcfKptUdi9
D+d81Nwz/fJ6ugPKDPKnDvQ/jV4NBHBxpjBZnbYiihKIXVW0vLya3Hbcp841vQFOMn/CKf7TpUBW
AA1AYe/80mdHgMQRO+ici8zj9kZRwiuL6ZupPvR5+r+/yz9P9UzfrguSMNB8PS73y/Bt0wE3Xtca
h5gaARpVo6fPBJL6SSHrvJ1qyezw+yuextpwyQDZMRwQIj54wKfd9LaAREXDOzqYMZUEfO1s9EUv
0IvPBhA5gQSenHROAwTJU1VIeKUqugcXgQFCfYMds9srvVk+ziDfSj1SUU1ZxXDkaGjrsszvPzIa
nJ9eCRQfPo5d3cRG0uFgxjiZUNDD5+5SOe5BlCZ8es12bzTlPbFEMWK5gyeQwJLKe1jwTd5Kf6vz
fD70FFegcueEdq3iKuZBxl4yvCoAPq+ktTF0v51qbXoY6YadIVUYz+KYhxWNOuDx0FP6VFbNnN/W
60paQGxjj1HWds5nO++eBt21ChPXOfQ5NxCCWi5vse9QS0S2Ej0OCnvYGkJjZ+0tQQbgCmhcDzEq
AoW5LvssdlbJmKFKgmjANXSByhcptdkOusXKnaALormmKCfShhHSHrFqJJirM4Mtt3849uaQjcKN
kL0FRu9IHKWL1D0FbW23h8rK5B0CQWrG9mBQ64F8kn2xZMQjI2XXLwokxHP82JU0Ksgo8J9JYWC0
u7ntPUsrokBuEbK88icKt8Ae7JdWxfZ+6oLurvch/ngzx94gS8irYP6dvNUceSyox+qj4XDQoaZB
z4/c1zVQbUBLtAsfpWtnZ8cG+bF1fDyhDsrm/pAaGdwJkahHe0KY0EYapHg0pVhLL16LKkEX7TsA
TpUA2L0O0Rw+jq3kp7BrErgQQ3dYVfrYrQbuG/5YjmXHVa5mpcbZ5pcOeum0z/cJjERKbkGgD6qp
79KZqKUKDqnemBx79Mfiu5nbnH7ppi3b0jQoGx4LpER+MWoK3DrPgV9wN0kkbAcKAqEk4NeMoYAd
j5IG9S0oku5Ei9hetADE8YKi2h6pYn6T8v41ZoJU9YgSTQ0aXxvpVZRkKOhTuQiwv7XfvZ9W7TCW
YYNHj8LE0nqG8TbUnrPltrVC1qJhCBB3yJJ1GSE1bqQ1aTjqSgWlSsiEpYU7NbDLfLppSHbqPio3
mGT7+8RR9l6pGWW3nfjul3qa6odQZfKq7NDgdpB0EbujjQt3VkaAQUa283lS6laCKJcFt4xqxo0p
Yp/qnCJlF3AB8uWAsJ9rEo3Mi8pNGyBLBO+tM09Q6KftQaaikg9FZHpbFNRteyhMbYZjTKbAG0X9
gZIROLY8HisKBv3wHroKJy5SzmuEikh65ZLj6gH90eJ+1FVdAMPYFAcEH5/JSOsFYTLSf8Fxg1dz
qOtLWp19stNCDuy+Y5ttrLypz6ZmbK6jfLJmTNUi/ZLoDhw2y/ZK+uQj04eAfCmHoCPZc/afANIN
OwmC8QuWpebguFUiUXy56ktNDOcW8zmuCGviMYZIfZAhz/WXHJDJsKG3LDaF2QdnejMqyBKj57nR
EoNtxx5whaGy2mEDHPTERBegQTc9UvI7R87Snud9KnbSG+VbnDTzNjUy44OMmupzVkzuGrzHsGrr
DBoLIEmyOvvnAHnmGtyfsYnJ41uPU2/tqrbhDyIG3SV4iOnfiZtmBWmAcBhNbGqGNVUKsFWrHnFP
gmxV0OW5ZKcb7m3Hkt6mBne4cuOYC5FHEm/ckTTZsGkFZXkBsb6RxtaumvFjW/gdrNBa7EZS6qgU
my9lANafJDyMDZG17IQROxvieqHNx0P1gVVJFTx4lV76bgf7JTF5ogEqhEvqD/Utkq/2Fnkdg9rw
2ZE9H9sGhp3zSpDSBESuaRGLXviLLiPZzkINndl2eE16kwmpUZH1IE3FkDUHOll9AAJiG46Lh+0z
SxcKqiQW00OmFafWtP6bp9iiYXaseB0hgoOIWI/D0YMCWtpuc/GNbmtaSyvOvunwjtzBI8HVWDhH
QU1lC+dPFG6m1uXVH8Hg7N3FRRd2bD61kGD5aAHBeeD36vLJbrqE/RxoPdwBRA9gwk1FW33xCMZo
32U7ubq1CLO+DAaxrXN3fkOT0sGWKQzvE/18MknSSOxL8ifh3S9JNq5KK0+/iml4zimrbj0ScoHp
SKaPz6UyRuM+U1gL9qGdhtcT1bK1X2bFNp3nbk+eq9rJUNuOo4S4yShw54+T11d3tCje7VJ9XmzX
uikGm8KVXwbl2o6w/7tja78mQ5q8qiyb75Mx4MnxxufbDsxoRCsiwAYypRlEi64UwcH3KAVtlrls
CQWBNCrXBZ7ZeT9gKbhwu0ZedWJw7ny1ZMaqr4rRWvk8hRyFE10mo54IzsJuW14tfe/eKPQ5N53l
jndVFnbrvrHEizsZ5bbBq/y1iXzE7X6rqMjFNl4TETpg11PUEzOJDWjxu5LpIoq9TV6F7gG5wte4
Neb7eUgKdHSjedVDQ/pSzD5hrT34ZdbKmugVatjJdUTR7KpfPOdgRHMEKnpKxLOdze0FMQ5Y/TNv
vIAHZ6C7GATZOxZT3o5YYhAgqCjteJW5mBp3KVrAB79o2/1EhPl9S+r4pSlH9WFIzWYVTcn8NJZD
N25NIdzssJB64q0xQxvgF+M5LK79hQL3WZSOYq8V7pcEQzYfMQTa0dooxqpe2UZgkp7M4LmeWeHf
iRQUV2NLzNjCQnhR54IIrzZKY6r2FseLlMntrHBxGNJSbmm2JlMwfUjsacbYn8eQJIGi9E/FMjhg
N0rvEkMA06hjyghvczvV8wYGxhjjp27sqyGQyluhoLJCkk4DlwnRmt8a2x/jXWR0il4A9V3X7eyt
U/pqL8YguxOV1X0cLSkew1K622nBtKpgT60KKPAr16TsvVqIwNyQLRQQwBOr9BWBDuvQYBLtGxtT
Vm5cbtXtpDin1CUl7LWHt/oGfdjy0exnAz/3gJgiczpnFxpOH6xQgnq7TgQgaBo7iwQ+jFm9U6hc
PrWhM7wAmAte8az52c6k0SvWNL/ouuRNGfSrOKRurwbVZZs+Rc20D4b23UuX5FbkyApIYxLDwZmX
tKG7XHcbXPBku7hI0KA/1KRn4RfZ2qYfD5so0dQXJZcFRVFDEqc3ugOBFyNMZcMNps8p/WpkNYnK
b6gLB+aKSNTyhuDRcljV9mIgHHZ4at8CkKpvcUhLegxHOu7X/1sL/UMtFJGyw8nkP9dCb9Ks+VHn
/v03/F0GNf9CbhwhXSdr08J4idL0u849dP+ibGNZmL4xA30j4v1dBrX+ilBe+gijoURpv+b/LYM6
4V/o3EwrdPFw8tupJPyLmArr54MxhzDk5yGVu4CCKzj905IWfSOWpdrzziFVtvHGzlVxl5ZtfPCI
OFo70hOfEAZiO+yB19Arjg+kBaPZEebykTpb++T6ufgElEh8SmBdbn+4k7ff6iP/64e41p8ri8dP
x3sALp7tFWdb60SvHY1hH1tz5J7nk9s8eykLNyK3+rL2FrbFHfSzMwKOprVom8L9g0DdOQUEsk3C
s4AlV1c1Q59a9UmxJLVL3v2sO8dA9blCi4CdfMwicqb7RmclQU+iUA1RwpF+cLG4UfbRyvvsy6Jq
9RqMoptIhJfOIQHftC38sTwbyn4stnBy/Q9I8whxWojmPqeZNlxarUPIm9m6JAWMOk6jiqw1msrq
JrUlePYA0fXaDDtmkhmw4WYciSajpZQaHc5XAEQT8JUnUtkKouXANCGU4XgPlXrbN+V4l9ai3hEC
WU8k8zphsUugQ6drQKL52slc85PBuZpIguBhXIhZXruq48AV+G193bvsqIzUIEe+b5xpL40qxgCr
iMeGzQW9KsDiv0piP12jk0brZy/yc51rfLghIuvSmwkS9+FnfeJEGogVCemzCXAjXYgwI6F6HxLh
TQocXuAlsqnLEGMmOGrY3V00GvkHJGiZtckh6D2VDQ2wpsZ/tQnTJdrOo9Nnu8lZSOvKeJXI/wiT
ZYXp0ydxwU2HB4szyBZazzyeI3cukw3QreFuycaQFDdnJvc78y0MbFYRh6s6HgqQwp7fWsbWTZRz
US893VMyve0Z+VNEdlyvXB4r2re9N9m2gRjMR/zpeZ+DXIbb1PPr26Lu2QYndO9RZKGFd/shJx/D
JOvOJC1y1w8zpBnCQ8+IlYYQn9rTrjCzXTRME5pNKzoHV1ndKZIKgPA3Y35QWDw3IWYoZEZAXxV5
p9uobAcUFn2jdmzUEs79uS19uKscf9ckCetjZG5dwH9aDugc4cbnNolJczoTzRd46ZuLVAepqbUQ
Dl8H1Rs1X9D6tiL3vAPCBtbJSroMO5tC4OEHvZ9vePfuYc4D00cLPLI7yEm8mu+tvsoWwtSDumFB
dmI2rvjOamsVtkPxWudpnIWroc/PbLOZX4tiqiz48URdIdqo28m8El3UZ88s5GW7j2rKIzdC9PFB
jco5L00nnz7ruIvoUnp286ww5Y7kd45Lz1vRGcMLro683PTR0AE/wi2WbYexr41tE8PBIL6Bhrsw
g8HajmDesntJjLskLbCjdW7ENZ3spsYqjkIGleoXN5qxiRYwLbHoSg/RSjIXJuWxJGUpGOpL+h1Z
u+lMp3mmhUqXW2+MCGlDpiCBt99RQ9eTYcr3L1RW3+RqDK7tEWnamj7xscPPd5Np7N33sbLIS/UE
+7F0csWnIfNJy+qziU+/JJAh6ZiqfYb18YmzELDwCVDUKvImQjvTmRd5K8xxMdBtL+NXM+/ZxtIY
98zrCB8sMkFIHs+9KCNAQUapSEVgKo/45im7W7LKh1yXFwpjmEg7sdVjKZCjNOtidiiKn6GM4tC0
YSWw5LNH8xp3cPjNJMx+XzuHKRUk+IgbS83TZ4I9SxzGsMnq51EOFUOnV4LjlPKvOzajUKibqTF2
8ziguXapip51oV3eyBq1BNJfZF4rQUTvhzFL7Bu3aXixYI2UN+hdwP3Vid94GxQW0/lCqYzz3jSk
1WVF5gooOj4BY7ciELMmIQn6Utcv+Yrcxnjc1KIPvhjsVUlEy6DrrMtE1damCX1pInSTIbgBtHRP
jWU012y4IgSxft6wzzMRHVDd2RazaL4Ka/joLLN/jjQt986ISpg/jJSdyo3BDno6CxFb4/5GYkDN
rIkIsASusLNGs7iCORgTbkls+mVazv2DXYwL8Xrp6L14xInkq8mxUqhaxRY0gKHWbDaXS5fQkos4
ndLLMUBWuBq6sDxfurD1tuHSkzdrlMN5BAY0QJUVGw8F64ziK0dy40YU/nAeV4FNGIwQ4WpsUHuu
KHfU8qyeHcnsN/nompnHOWUmnrtbYl3HrBzx6b8bx/+JTVIbEn7Y7fwCTP7f5fPX54ou8jdc0fkr
afXH3/L3zpHtIU1u9h8MWIvELernf+8cw79cWkm0IsO/94B/N9AdDUkO8FhhXHJ9Kux4x/6miZh/
2fS7aWJC7/ZMJ/pXNsmfe3QerDFiyPWnAHViU1s72RzlVmu7wnGNfWQYTAHIotR+jFzx8MM9+Ycd
4On+VF9GtwkwZTrmr8gSZYmeBWgy9kIhfi6aCn/0aIY3FV736g87vtOGBNeKLMuBm8QO26dN9/N+
j2eRU+p24r20mugG7cp0BTnDObjKpBJLhkv6hwticzzpgdCkBz6NIoB2p0UDR/vQfrCtLIhdOivo
432GRR25P9qxy4asDU6OBraHdUi54ZEOsGPvzDGZnA3p3Lk8Q+Bn12edh8echBZyDMYFRWGrNVFR
o7fGMurNr/WS9ZddJKKzLk6is2PMS4VOZ10DbjnQWKg+lDThMDf2w0fMWTUIiL7dGXEFM0kOGQi7
3Ks3DskfZ7IzEbQlQm47KhwfbMNVbxHCxMeU9ITHoE2uzFFCvQjKmuyHkvWSDMgrOmR+uE7J5vhg
i7F6V45qbkhzyT/auCpWYPfKndeltS5iT+uxqee92RC43anOPgshNJIpIectW0XWmgFQAIaQ5rpv
Q8Liy8J5NsvE2Jf+3G1Ub8z7DhQTAUxLFPsYSu3mRSDMvfQV7BSU4+m4QiELt7kP3Z0p7P4pKyjn
QH5I+0B0q0DOySye9GlEisu0bvNdAJS1BiLCOF9zPifO0nSq+uvYB0iVxyT8lGNSv4sSk630bIro
NQ9FS2hlRF46wQayKTAFZqjV0DniMwid9GuREnOxzmq3vAHZiC/Fd5PmMuBkcSHHen4MpQJyEWf9
xrZLxl4OcnwFWtW7yRzrjlKCuY61MDHtIn9LaFv/VAXNtGsWc9iFk09xZmn86rXXzCt24y+yz9tN
QmcUNE04knWivBTyDjcnRed91eFx/sRR0/jg1Jm6NFUMCBUXaXHuQ8g0INjmMcnajXHvEjR6Hrum
u5/mWmwdmRWXtNDGVyTMw9fC0hQWlSgiHowhiw7cArFJY/+lG8CwWCAaEbsjDQ/KV5NVdKWb0ASO
LytsJR8jBLAM0rY8M9qQs4tRLWuxzDXFGUi3UUw9L2iHixylh4NYN5FrJBH5M9qBmB8OCMQbnU2K
Bm27BH53F8+lDbdI3HrLDCWCzAaXoc3bA61hgiTu2oSZTW9LRWIHaIbhqrBr9XVYCEfhyXpf26Uo
buAr2JtCDcNd5w3Guh7Cu66Lsu3oqc/G2DvXJLHZW6xZ4toIFImqETthgDfjOrGiaUfMywcCnj4R
xNTY+6wIZ4q8A4dt+VL7GWiDmHztZgPABjfESobQZziz5TCDk6og+NseJbyMskOyhxhaLudlRD+J
9C7OQVSBDINeWiFm/FarxR7FjFTRaOBwyknkD+53bCC7qXCaHwI5pNvIEgHUCgnYk11vkUEbwUaA
tBcI+hmRM37weSGMKUQwWNgeCJAZBxk9TxnuRC4ytjZJNfgoC2eVQEn3+Emnzabkml7qmK4aiOvz
beIbCcTO1u9ECsQCtxCmmXj2nuw21YALs47Jl517DnqP+TgbFOEW5sjXQMdLrdIhHYwDVKBk7O+L
iq15d0avsngyvLa4jybsDxT9mYabKvD2kwmTJADm2nPmsGPOxaPvHLyFTNoV0NyZTHEjjc48FO2H
2Y5B4lBO3dsVPmagEDKTqGBpHthpg7dFYDdBABn78b2U4/zi27U+EJKdvXMLbUcBw0TP1q0RKGq/
NUrH+pAtOF6GalRkrnVxzMseIqHtXN0TCKbA2lmICzb0gyETtxRMa2GGy8qQacUTiKMvS88/dUBC
7xWNP/AftTG2GyLKqg+L47ZvmhZGCksMga7QnYmWranajH5Spttezs15aJbRTell/nOJ9CddOeVk
7UgzqLDgYX5bF2HFZ8Oiya95xlC922EPuckcaIAUKMQ2oaqa+6RKaQULthFUWhsKFby35ea/u8D/
2S5QC6X+c/WQXaAoTjaB+nd83wRadkQl0CYxA/qYDj5hm/VtE2gF6CGxN5uo0ewI0iN2/e/Vw8D6
C8MtP45N1sM0rtUg3/eAHr/koUGktPWdUvdvqoe6ePmjqomPg7XAcy3kcBiYKWP+vH0Jg0lWZPO4
b6mp2vydtSQmnWyebaMbNsNAQeIRJzZBy0I6JU0gIT3vZYnLtoZP5TWdvWsNlxNxAZmctZJoPJ2a
FJaAYz/2ZmXkTMhu6yufg+CSgIGbnKnTdclylMrZYAIhpJRqWEtVPjFp53xMB21tKlmc8a676CHs
Drw6KrMzRySkZK0WltKoX5fzAmN9V0+5aPGJCXBafxKYnWq+0LVEDtrSkP8Do6SA+fPdaYRvofZW
3lsr5gk5d5UEaUm4hAsJ6CoCqsYlF4tKyzuBR5l8cDWFol/bzJR8n9qak+XjD2PrH3bTttbU/CBD
86MgiCg4u0Qgo4aKTvWSlIiWqhF98mqVpldctXQNi4NyR5rLZ6nhA6qjU5rhVaTa1YbEj+QL9txV
blJgfSbkTnbsk0Z6fgcWc2GmWxUnhIuocuFRbAeEMewIez82li0xcp1/rVSB1HZbcTKAaGwmtHyi
P+yifz6JuKie9BjEEwRBNUJVbP98m+O0oH9Im/XNnDGz3nt1ZjR3VRk36vb3d+8EgMGFKAhDoGHT
D4aC6/18IckcGyn60K+wH23L2bb4kVwT1DRv+OIEuXtDmcCjASR9rzSGdUs++3THSlvn77//JD8f
G/RXpjBKX8LSsEkkX/qW/HBssJxEmtGS+6+TCHv/2mtlDrINxQH0iAP7MeX5f7jJJ4M54H/0Cjxm
DhPlNi77ky/v2DOPcpmLN2gyrJScS/KvFh27nWrIyYjQw70qMcZsG42vcspnLEL+1P7piHYiYDx+
DJTS9EscngCH45Njp4+7APB3UL5ReJTj5qiq8tWYlpdZ6Q+oyKbooevrcYfIgwh4gnSe0rAH0J5C
HP/D2fQEMvHtw4D5ROlCrwbg78nIU9U4T6Q15G9JYPr3nW+JOzz8xibwZXbhWNV4PZbdcGiJTz4v
F8e6GupADCvCb5bbjAYAL1Y9T5dE3DnvrADMTiHWuvvfj5UTbaD+lBwwmfUtm3c/gpzy82CBcyBh
mbnjm5zzLvno2LYnKNKjixqxSF7bBP/Oq1koP9yEvde8p9hWUGzA9prPwHyJR4+6+aUZzMVHu3fH
bD1SLN/1eV9yu5M8WLsdCJ8/jLdfXmr0gqg1wZ1YJsKU0+FmWIkR0Gx1Xsqx6xu56WRLTslqClVM
oOTv75Ceh3+YFHmbWChdi/gQVlqO/ieP0YYIX7SZZ78uViIy983mGJmm53FL9+FAmLR+pUvpj/CQ
f3/hX78kIwcgB2MnRDbqnzwZDMOix64kXhaTVpda5UEZTnexbWS8zb+/1EmlQU8Z4LZoR/kondks
nIpt86axCqrH1StQTY+MCkKp648lyZ2dtwacGiftzRKp2KwumwxKurn1prRQj7kI2tZZEX4UL/jA
qPdHH/Lcx7ixTiedD1AAfAjlfpxdlzC433/oXx4M7TemnAClPVk4v5g0gBOGVF/N+gXmSM+nAFFV
5O8TSUsAFZrKb5xNXE0YuP50s359MMjTaLwy2dHOtU6XydiwzKXtPeOr8vBG4oILSJoCbRe2aW/S
NyptUe6ZlovgGTwObJxN1/d91K4riC7TQ1apua9X2OvU8JXAmzzaOdjW5AVZjC5e5j/cpfB0OeAD
Bt7xNYlCqGmnz9ZL5ravxr75moYZ3gX4tXJQt8JfegaVkpwbp7NItMK/Npw4420SBE2y+ah9KVmc
o8JN5AsDsMrffaEz2Nhu4dMlQ9xym/z924Lvxi2rGVTIxP8sKP/HdJmqoGCkTmjEeDp1P/hs+2qU
7jwR/NR6S2CINOWCtlzK8EOctsPypKTesq46WIncC5tgUDYVsGT8Lt/ZLkGmM7DBOdMlNzev3vwZ
KLhFjzMW6pbXP/I+13g01WOv0M4iqGrziLQSiwCKzyj527zejuSFqkc1OMH0MPWdP92JnP8yrwgl
YAZZpThkeWZ2CtGNfB9HS5bWudMavOjUP3DKIt7M8xQmJSkbNeTRObf5SVafmB/J/EBUPiENSzp8
GOagYvMkuyVnyRc9QWdymycRlzayOeLHqXfpq0H7bv1rTJVZ99RBoZz2MerR7Kok1Rd2ryWW+iLt
DDkexmVcGEtLGOuZjzwLS16Ek0jZnJnxoPdoXYj2r9+3IcU4e924dVsU++9fwMuHlK9KkzTSHTsz
Nrihnlkz/MSS6EmsrALTqLYduk7+hhOPjDFa6AXy2O9/Rtd2aJ2dLPaydM2Qa2bwyqnyuAejk0ku
vbRIoA900vhOybe7Ss4NumWgTsBSNXhgSItDTcPbKNdWGukrOkbAKUG2GMTp/MkACdiGiV4PlyYa
2CU5RVMzaIgIyqu7evCaINjljqbHrVqyYninpjpCrkdIEzwIifTY5A9E+GnFwW5IBlxWB8NdMoJB
qmXiHjYLstpy7TExWvF9WGJjyjdEM8GqOI+pcGG4pBekzwq5tTj8mvQ5nfAl8gi8zFXnxFOdbBuj
1889sCdmgW2vQC1U2wYnBZ+kh7/Bv1H16JzpEIkJQcSmkSArhw2mYBpJPPkBazionWbgI0m+Pf9x
HnP9WdwopY6/9oOAV1BiA2GkOMr3qbJREefj5ajd9Dkhnog7vxZwu7zPhPnwL+sIIjUfK3dpk5N2
PlXcwXGhvUZRLAQtQumBI4e7z4cF+dkuMX09RPVRbnpow5q/ItQqeYGDfGBu4KiCgXbrzhnvueyl
0pNHCs3kOe+cXr/SLsXlZtObLiEl9Jw4pyCvbC1negioaHEXkDC1Qu7RkqCEupoQLPMHdr1Asr+m
jjnqUe1kWT9s2iJSlrdfwtJbIDWZD1HqZdG0QfcS6JkpLUnEAKhMga6IktbZDYBXXXPD2EafnUxm
q249KReGfyjokrjbqKJMVrNRwJxFSLQ3QaZOKRERfePHuZPdNBawAbHibKifMIpXYqV2Nu8ySP5M
YOJC79t3AJTXSymEMV8UVFL4jLh0eDadS3qV91wLC28FFfRcJs09donYra8bTUkOqUlm7lxumYiZ
brYoznJAxkk7NhGEZ86J6B1A8AzpPnby0UswRRdMs/6LIgcHfgGTrdTtWaIcFfWaPl3SNLksmnS0
ArIIqOMzeLJcTynBMMuu3RUy1uOSDrBgDMVOhmbjotEEy3bX2dPYA9vyHKZK0cEJwhRX8Dzq1YLh
f+yuUT3bTLl53Y08pRqwFmtBA3OcPyvqTD0LovGNGLlm1sbDtDOHduYnOTJ3/NqANId5qTAnXV4f
cn0CIbCdZjl+hgVs8cWQGswOE3eRd8GyB8GAmroewPk5T7+T3kUIv8PdhyUk7OQiXYyRS7sW2ly6
EBQ7WetJgWaVr1Ai8uaFbqkX2WEYO4bjgr60gZIQ9pL5QYap4d4swIoxlzNFee6+7YD4pVvoWvC5
VGXrLZZJYUy+VOy1i6vv515mfX1z5qZzmuisoLsARCZJ89kxoD0r1eMLC51k08VzHW9dc4y7e7AK
fPmsYfGXR2omnzjIZxrpO2hSAS92TqwDgyfMSKeAuvRtWFfZrH8NDpLDwFXZog9qfgOIql0LI2TR
ssgj4h47QR/1M+CvMjF5P40k4811UZ4H1mpOoSZd2/Az8w2McBwHWD4s6f8f9s6kuW4ku8L/xXtU
YB4W3jzgjZylR4nUBkFSRcxAAkgkhl/vD5TKLlE2y73vCEc71C3xPWLIvHnvOd/5Bm+m7D7r1VSe
GQsHiIA6krrbk4vGAsRAowbxQrhFqwHAqDT7KuabWmFTi6z9RpsfUXCBgqP8bufl0hEe5lbd0wjJ
d7xZAo3EpZGBM01IyxlFvfFBXMCRaqFSY2gfR4ehe9cS/dFscJFXxiW4FgTHsS/RLbXco45FfvJb
cOtprTr41JA31FrSL904AzJBjG2SrwlbXj4GpjHYn90SeBVSEugbSByC0pwJxxZwoQyA/nOcyKNM
2cnK0CMWeFmiICsXvdvFJlqACzq88bBxZXEFp8sQOxV4CeMzCrTlnOQ0fdn4XOmdetq9/saypWmE
M0q+Zt64iexBEjeml4ekNpgoQJwyOXimJSPA3ONyEQfQIffGaKTmLhaTgUhfYsbIwHhZjnYrmFPa
9wjAyELd60ScCBjfjT5NZ2JNLXmlYVvQPpFW1i9fJKiAcuN0rgs02sO12jDpQm0j9v7kQJdC5gBq
KCJgpCz2cSZhHyyN7VfohYvGMtPQQ2TR+s9Glfv19xTBh5qiwpVzy3zOsYYhHDzSBlHO947U9zKu
W4fsokJ30FvFHNzcayhcWlHslSsoa9M/U6LtJOKzxi+IgooMR86Lu8WcYxHF1pn8Mvntz+pbn8vY
NT6Bw2mQuo9Ntm6ooiIawLkfZ0cIOxLx2MVglnQiTgpEN55DNRbrIy9MN81rrYmTn/nCvrMmtW4r
AQsJL3frr+VjxwbO65Da7rrCVY6+VpiZRkxXvMvnckxITrN6MfoX6HM0SlKSIRVbDzOunF0Gs0xi
Lnu8QPzM3eA0a/UHa2A9OXg5Rk9af2TSMAMd2ipzHxxUcnwVQwAdCPbw/+htiaF1WCZRUVDZ+wXN
dHNvmw5V8KhTu2lhMI+CtSz3iaQYmWmN8cgeDtRe3yqjdhfrENhmSUlUM0dnTamGSucXpS6BvRQ6
TtWtC2JVmuzRIzN3ShNwi5ILJGpv3TnxC0180y5JPT4bMYjXLJ+V7WBwCxvgjfwwPW9A4m96p+n4
/n2Qr+tkYXsk24I0NAK+UR2L3uiegi5Y61UI+qw2Jjop9xlPQN2AIMm9+jJpyD4wdlKItZaqhbeW
LGkg12sE8NmVxit0ZKCZ0VgaasBliHtJNxjPxRPXNtDB1VRXrOGoBLcosWgvukTmsEv93MEwRHMd
C9jgrGhuMK7f3rDIQ9BCxOF50OxnQhzoJYO2pXD12Vf4BkOvpTw+f12JpeUV2gzCWqhIYdDyExuG
U5UdFYi9fPBVWrk+iplOHfDJqabYeYClyZf5cRvZMA3jC8e/QZ79Np74jS3U/tyjAR+GwawyKdSY
3i6Yu+PgURVYnopDKtykGo8Y/F11Ju9nrWKNRazNzq4jjz49Cr1eiwpdMhmnp0LoCJui77Y8LBVN
LWMKsxGjkIxsOCoUzma8VvOqEV3nHHSR9Mq/XWRqNtmli9ib7zMvCLWYtlqdzq+qSLJQ57K311ek
rZA5Xi9wNfgLMQJZCjWj5GictYyF6w1D0Ywxemt62Eai5MfumipFGAWjdsaRCFctQRXoWt1ab0p3
fR7jMs+prHWuQP4aL17NH/jv179NVdItt2Ppe2yXRsr3MsM09dbSkKFRshbzlli/7Y/Xo5BMW88l
jHpuatez8FWX1mSp5JsilhqpAmZdNP6MzngWSiIjqQnynd3Z67Nb1mZQX1WjkRCUlpS9bwwnfkBl
UdSOzcy9JaGm4rPqpeNX0IVCi5D3xlpaB1DeiOnwgqx7Uh0+zGqDo1RIFhdSvq1LezRkURNfa/Kc
QTxZD4E5al5+jDGtN6S3A8pLDp7cZzk7y3xhARWcL5DbzJPaT6bVFk8qNSYuCrEqa+XTJ7qi1ugb
v+O3zSbycObtzxOxv9RIO3dTkhBVta2T1uJPCWeWbgvZUZteLDW0y62ukXIbgiVMOY6otEt6Yipd
YQ1ndymtQQu10eD6M9NcD90wUNcqDGjSesj3gm4t5BMsP+oc93HCXZMVAwT8N762YM/rlMMskxZv
w9yYIoQ1YDFazrzHFuPH2K/nBx4n1+HjaSXHy7pUCtZk9yA8Z2KAXHsTj/4BsRIz7LkgCeHlx6tX
q3ItrUqtClCNzi2YhDaSSvXrg1GPa/8IT9i8PpL0Usf6Rrcn4sK4IEg5GUwGmuRCompeX3FOy4m4
cpEHrKTYMU/2cVpPwx2koKU/YuwyyoOPeKPv2Ng0m/oAS5hi6cQa2PBjAlt2rFV5W6+VqFmbrOLh
+OPUCOoLT9ixxRTIIkXBP7hhT+fKLLdBotZT4I+DRUkuDl+6WaZxTkLespn5qPQXTry2ImwFgd2Y
oSAJx7SuuaWZMaxffYBmTKoR4V2xlFsyE22oYYLmCH9xmXmisBmvC5bkNmrE3RYIm2sCMIkpYRKV
WnXxZDXTekKff6wcRCushS7i5PWp/Lhr9L/0jJCIwQZhgIgz4X2DlVRc1NhBOT5PsVzPmQrLaupE
GuErZbDph47f9x8+8n1XjTYV4GEH+jBGVZ/C6ddG9Czq2tclYhHHHddp4Y9HoySUmK3r49/u949a
tXEm5BMGlKty7NePMhHyLoruxDPGq3V9apD3Qy6dWKxZuz7+rHdjADRwtI496NwIpC10J+/nfL1u
AEBFjvQ8WRUU24shpbvuhg4ZqbyGxGcRCrxd3IZFYwDniNRoUCVizlBIk3M3XYh1khZw5F3Xnh8r
889ZW90l6xGhRlLMnoC2ZeRPH3/93y6VRVuYwtZAMGgg51v/97/NkqYuhgk9es6TzIyJ78EGtR4L
2Vw5Qn38Ub89cxaNYdLLXSaPeE3e97spozKzpoB6ClII9vMhnqEAfzEWb31F3DghHPMffrn3Izs0
dauDBv8I0wTzN95F1/aWn9C/fyI7cF2jJCjS5XbIWNk/JSYYxjmKA+p9iomZP/9ZkjnT3bDaVc4/
oDfeX2am9A6w/nWKz+v22xRmrOWkxiCxvtGT4OgIUIwulY++jBXwX7vKJlwjflsLFI/HxPJ987qg
MPQtIze+DaQmFldSlOsGleWc1A4qNdeq8eMPfBdH4JlkAdB2RlTgMFGmffTrE4SIfGExmbtvXc1c
EmkKCdIscyyKM/eVZK8Ssl+aAVELSIdxACf+0xzlt4vr8hCDkYAiAmuKdLtfvwGnxLQ0hFd/A2w9
J/WW2elSbOl6pEG+/1G2qC5dS2OiRdb1+2dTXINTxPGicoknS4/jj4tTIXrkGtH6n3mLG6BUnBaW
Er+sRR0xNn4f+ZZE6oPlpJCs1t7orJulgmuuGrQzOi8++E80G3kkvYHmkYHiaSRpt6BFh3gbFoM8
ZkgZ/CVqCm2trXpkWywWWgczmDYyFALuGbodahuvt9YtXoCF52t5Pxr0PaU9qyaslrVoyn35VvGZ
iNJFGOdEcNO1wWvL9feTvKMzaaoJl+5FWhe0ZT++/+9fa9Y9ZHguPrYAt/hvj/bAySLVIIU+Nmlr
UbMmQq5HoGCRawXws2X98Ueu6/ffR3brUstMmRkNKC1CCt5JKxiUzbLt/fExSJBPW1tsWW5xBYjM
LLRrvdf5BquRfeAQNeFz5UYADVm/zcdf4/1vDrcE1AsYO3TDvHNvcou/rZ2129Ykecn0sWhof56y
qpPVvVmMZndp9vIfQineP+SIoFEL0ylyYaMBR3r3kGNTgk4u+v6bagFPfiEQeX0swFOsldXHv5f5
7pXmpxOzwawfqBT7gqW/m/YnI6FvZa3M+xoMpR/FtC9lsoMBlXHSzfKR3WGDwKLi/3k0bHguJwe2
J6WwAxRV0NalBcORZ9WLiJFUevoIC47Cs54lnFBSj0XgBfZJura1Jm1tA/gSC0h6VL67tolR//G3
FcQkfjmtcNiLkgTwCMuKArrPqcpAOdkeNY11tNwBVSDu7uOL8O56cw2Ik7Z03lObOKLfJqYOVJmg
cuEmDlW+7sxxw6gCjd/YcHL++KPerIR/e57Xe8ri5SLwcdkWf+P3jI2gp2rY8dm3m7fPwlzlXhdE
vq5bE0s9S9APrUeJKIyrUE/12iX9+adODWuHQBt1Lq5je2s/k7OgYKUzK4j441Er8kFbLnteVZcJ
lqiKcQ9TnAPTtqhjjscZvGeOJT8Hf0yL1iGSBmmbd2fx9YX/TTXVesMXUuqcB+1tOu79aE1g8157
vJqTrncyN6haxo0HG4X7LrtsbSz/HKHxRvLs5sw82PfimC4H2BajGmmBfHxJ/V9vH6oHshYwJyCQ
c9gLf4vWaPkNUF2L+KVUlveQd3BTdibj0YNb+MKmx5/KHaiY4GL2szKOhB3Xh8osyi8Kqrza1P5Q
MzRNrE2ABLbfuKls72POrz3siF6lYeordL1BflcxantRgCDA6XQAlkNmOe6NcuLmIgVYecWOlC4r
Ql0Vkdbn1teFObI6xd2YOwCqA90musApvmiLJjkclEhhwz7obm12JUD5AJ2vvLlTkRRzu2UmXn5J
meGDUTWZEuRC0s5ripERnjTKb6gmnAvASXgAhqXVDVzznXc22Z+fRNoYzibu3JQWRtL3ezOv6/Po
WcOXzLJSdHe6ZteRRt/usRhABJWa6D67dt9TFsXDISdfbseYYBaIoRkuh6hfATcMdqVO2P+3cgyA
iPhpnn8dYNbRNY+HIpJj15yXHKkz5acGvAK7SEh89p0tZ/3ZnGX/DUIIodGDM4Tp5FYXhddnWztD
QvPxE/HrYs0DwViZxcyhVFjRku/lWw3tHw/LRP2d+wWC2wQptHXLRhJS3enu/ccf9usG9ePDPISZ
6zZPDfe+IiFXltKuC+rveIsrNGmTfkZLbPabqiqulG0NnP+SprpjRIhO9+PP/u3Jf/s10YYxsmER
f38eGZw+wA7dVd/buubgCnkMelCFHumftr+3n/Q/y9bbb2mbJvocXORsyO8PkZNZFaZCK/PdGBve
Gctku9g0HHgyTBWl96k2q3ilj2kYJ0onEHDvRFbuCcl2YSJKZIaIQ92bzu2CU6213j37LZgb+oqS
tHKKF1PWFbx1adh3APvq12qw/Mua9uydMmfza5BzTt3gYcUgnRTJjQWBK91oXuXSvSmYxWEep7HW
BfP3vEkko4Sh2xmJoz/pEC3Chfv3D7XQ7zq5tQygDOK6QPoz35cEhub1k42J47s9rBc/zax0bzV5
eZiW6ak2gvLR0oIpGsyEoUcL5/CAphyXzcePgLNu0L/cGW8VBxM/bwLxYRt/VyCh0KoYH6Te92Rg
cEA7rSs2k49vLOqZkshI2dV08Co5DZtMExXTnqY6NPStrpRwlcQhnGg3C+7Og7XMNM465OoV7lcn
7ArtKptr73K2sBJalXWmB1reNBo3beMyGJvDRU6MXfKmj0NPBN4nykbV7EY7e53dPLu2PDjLAJOc
Q5Y04qZyZCnBjffD81ymwz1iu+JOqzHLbNzJGHeWKdHyY/ROzmMZ4FdPW0ITVDoZwUbJhBGAl7c5
gxD2xM+2o/mXWTrbXw262vGGoQM5pR9f3F9lSTz1XFub7gJ4VU6znrm+f3+r+kiNZrwGjQMOvu1c
a2TvfBGZNeMMaGv92hhXh8LHn/i/yR6pDTji4PpD8vle9gj+vuwqts4/QU7ZJ9pmmN/iYdYuaFTm
OwYRkpWeEJ/vAkrnlyyZ5GWWBfqdpgJr9/F3eePy/fpoUWqyfJo+OlDXeC8+7cbK6f0E0WcyMWDg
3N7E3zD5pipqq5mQG90s6HBUzZp94tArjPLUddBfJhmBzmMQEOihEYzXNThOCF9Va+uXFnqt9elV
4Wb9obWs6drFjH1MHI9AZThR5rjpwZKldDj1ath0ht+EeBscsde4LLu8kNoVPjsM5bQytMs3WegM
vauOcjDtu2Rk9w4bA8tSxZiXitICELsp27JGUjLmzHAZen5xFEdTapH+szSn+phWpdWBpEcuw5PI
uCh06frdWkFWM3JFUTcx0WSuJN2yTEK84OJqFEEPWicTLjpu32yM40ol6/Y6bO6vsmuyBzxe8tXO
oICC1snxjLzdnX9jWs6z+PM//+Ppe5WRbNVTNL7IX6yzMET/9hz/7raFT9LUvxot3v7JX0YLnXxR
W3csqkYW7zfz50+3rWGsoBYbnSZu1xVkjS/0p9PCAle9/ivm/xx+11TE/3ZaWDgtTKjE/LhVxIgq
91/AtFA0/LKeOzpdM74XmGN6dXy993t61Xp9PxXuCF5doI/guDQyk2MM77iNftEI5ZsV2xsIyWFf
mEQL618llYFBdS+q/mxWtlw6ZAicd7Yl2l0x5liUyCPyP2foA7DwhUNe08gOBWj8emdbI3Q17Gwz
uLBxpF1N/WxW6tgNHKRVv1kkUWbiqi7nvI6UyiiRAwLOLp04n0684Eo/5pk7X81Q5c5I/AQbvPug
9Y3aj43yklAngyRwcnGZr/NI4tRxHzlOYZ5TN8O0lAFLY+hfreBOBNywPjj8jZipFsyxbkn211LA
rtSFyTtEPaquMj1lomKm627BgQh2Y0DESrmvJ1XumS2XfuQETXZ0q6T1rgNGMqjeZvJrWk0Dl+eK
We5lV6iBYw8H2rSyi4OgSt/lS+cxYkFeQcSJvcIJKxWrG9OJ60eEOMy/XSQNkP0Jl0v7noUlEbOJ
gzGZFzpGQDxzp1UPsrPnL/HSMPLqklZMYAxoBVGQO/yidqwP5gPDt/ZydIxy35tut7WNQm1hsrUG
Y9buckTDKyJ0+uOWhxR8ZFaMztFFX/MlyAkxYp+EZEWjr5U7Yll0MtJ41CONVqt+17rF1sRqVu0t
Wcaswc5EyyqX5Kb3ea7hI66Ux6zS7hoiyWxOJq6qwE/E0KsTNfg7cxzH7SjzJgTWqZBGmpLQOiLL
hBOuDfBXL870p8UxMKs5Ky1oNbFu9dqenyogzOYu6CpnPzST+AxoPb1Ao1A+ILMkaVDn/BgKZHKH
UqWJHpmdd1NVM9kBJiL+DlVZC1qmNHhojMlQW/b8djerZNoyfQxuJqcFJRF3SB1aOznBZZ28TWNV
BQoSC0iJkw6YTnOtOco4N4+SZLSIblb8jbeh46THfPwZHTGwt7mXqtgnsjXPgGWH49hV3s4sKXE3
QR33n31bveiotSI107qLUbVUG96A7Mjab5HakiA6DBPXNy4rlyNakTr+42re3qPeJJTPwYNgRHBj
AC3gQ7SiPm7PDqKm65YT9nMpqzga2mT+Ahu2OsQLBshQ0/Qg3whwO1sFpPlmbqb6mtiyHAt0k+fZ
BlFiHDp9sY5k4+beTVqJUieoj3WQJV8lBt+J3kpcfipsYYYorcReAXiV4C/CzottbJJ2od8hnBjC
GXlKsGtqCDysLIgsLoTwc2RgUtx0VRzselcv/6yNYibDqW+ImiMJSxHosqJzXsgNtSNiYcaQbDpk
hyV7fWObT0zRvjpl54QwXCl9A2V6XRG11CtJCRCyTcXg3o69Fid8bOG4w9z9e1f8QY34x13RwbL3
gfuwK1AsPvW/7qTrv/kLQhH8AQjBpcEZ2PRaf0lxsP+g+Atcl7xNBz9ZQBn817bo/oESZ00XCDgK
4ZD527Zo/cEGxt8mgRRIBdrhf2VfxPT0675I25X/o73DEI4eoPO+GEXeZvJYkxzllL4f4kxDhVZL
tV/idDqVSescsEUja2iIMP1Ojpl36RR2y5ZiGOOnphkAwPRCewJyqV8VuMzQU8TW2eXFIo1SuHWU
9LZ3nZaq/zTnKjsj6yn3BWKPY0Xn+VtDWhtuQy8/oUHdyrlvn2nk5wfMhSBraZROHbNUsbzoAlJy
FicuA5GpMD8ziyhOQV3WF7FnlfvB6jfMseurxoGAFZRxFWl5lZ4M1Y/HOqvAiVYky0Smlninqh0E
4TDldNMIv9yL0oeM1CcqRxQwmXcIPYJrBLn6lTFn+hXHNADRqrHaHfV8uUd/kzwYQRZcG1pxa0zu
cAUW/rzoMz1aF80caVeBBipBWK8cauBnVmClfAO3R9jR4L4NkMmR8uuhUrSdiWhDVsq9U+ri+8ge
vbM6C4F6RhgeLPfivrVzt91MpZ3vRTXlh6CXMhrtsSI3dTboWZnD18bP4hs5pOOdbLLlBd0PALFu
sO6SAmuJNefdtWsBBmIcQECOaWa7Noa4qU9u+1xZwxQh0vZ2QpVq7xkFv0YCT9Eu6vIA9IfoUvLu
vmuBtSZnoRkPxIVZJ0d71e0MGbrGQm/qqHfiK2D01VHztWNZeEVEkBNoBPwD+7ZVzmsSgATqc5ld
SNce964exISHp9Ut88uF3U3LixMDr1jbWrS7LgRi3i/JnAWPXutWW2ohcYqFO34WamzPQWxnVwtt
sKux19EFwxPIvsbS7i/zQS8/240t9hVn0GAzojg8OFMJ5IgsPetumb3sKklsCK6eV5YbgAn0WWCJ
s5FBCKJ2ttSlizzhNiDm7ETXw43DfLHLl2GaxHXsuuVhngbrwmUwuK+Emz0Ovpc9tIJ4qZoA0rsK
HephIl7vGkWKdWGOTnPohia5kcR3nnMAQ+FU9eWx0oYjgepjzN7o+NdmK8zHmgHhVZvYxTGj/XzI
CYes4EP3Jaf/1LkpxXhhpqPN4wiAXdPlllOefGI0C+9yngpja4rYe2qt8U+nJUErAY27qRDzEgcZ
2zv6pn40e7X5xbKLl3m0RBJqiW0+en59bpSF0LkX837Ra/2O1BMXqTORhidHY75OMejr16miRxiO
mts+9XGX33pJ0aI9tazgBdRUuq8V/yhZsvLez/QKuzE2CJ2x3UWecBNHktOOcPzcCM1m9dmzevmM
TVF1gLyNM/K4IzuYe2rGdo/UAcGU68Fkzcq8uGNuVn5y4vLgzqM8ufFSH+2iaqJeDMVmYLF8lE2Q
HT2ninczoNIIoyAgu3rKP4keg/UytU1oFbQ5lnSGBi2c4gHt63Tv0Q27E7CZIZ8JDqpdWpgRVkRx
q0GhGyHdX7QdopUwCHaOzKt93I/6FTqNct+WdyqO1YO2TusK1zLucj2xSCjzdbjPI97AWlfdiyVn
vgna+1GfvH1jjNNWlSTPU3xZ/oP0UKJvhE549mb05gZB1pzcLH1T7LWJFJjNPDte2KnJDWCyAOlK
4nk7QOTmCNEMcM6DQN1DQIUhVJIcRoGftCxzdKk2gej0C6pfiN11rG8NQ3vIAfX78PiohrIygOPg
Iu8P8KuFpZZ9BbKhw4vr9S11Zbsx86J5Lt0UvW6TBndO5bvHvnemarNGO99lUisiz6tDhFH9k0sw
5D7nqHer926Febey9GsFfDf042pBZuqX7hb5GQF27BrXwAXTr4BksstqUd8YdboHdsSFVNxeXfeJ
DYiWvsJln7t1KGctuKwGu7uVedxe5Yhfv2hxVl5zNhBbOMbJzgiaJFrMVGydvrW+0s43Dy5c420X
+80unXLzz8VLBvJGA/FkW+26uQyL/UCLIrtHuqzKDVARbGZ5kOwHXBsIpJMx1Iw4vTVI4t4A0XQ2
Kmmnz/rApa9TZ4nmWYptP5n+hQ/uKacj26Q3+JhHHjQK8kBDScCdHRDQJtawr7NJrsJ9cV+SjJjh
u9qisV5uC2XZW6GwZMAX05ccZV5tb5xk2rlto64NlZgnUILFt7E1i2jEdYfVge024xW/6LGZHtDy
IBsv2i54LFw3i6p61B/KGCwSKxNGTGlGs+k6t8uQay8Cr+NJSF/bYW7pb/DPl0fH1uIdIJ3+rpxH
/x4hCeA1vdU/p+Dq+Dgv1sJ51tydxYHhupvb57pf5hd9GVj+aSEv2EImO9lP1mhECx24jdlrF+SN
mbRC6y6baGg1I+Lx1WamZ6xomX63nh7Y+/M8OQ8OhQgxmy3Z47UVyLs2actDQ6RdRhiqRxrD0ndY
or3Yb1+DThRHVabmxp5G7TIzSbPw6+oWOH9xkM7w6HQOFKOmbxnJwAV6LqT7iBHrSY+HV1Tmjz6p
wbWxcDZYRmYxVlsdu9qb4YpmZ7NNxEmknndWojAJKhzrFwhU01cUfY8+rDmNRz3DTlmcBGI4fTiJ
tm+V3HOibhf3ilIL0N6G0Abd2WY4luztOpa9nEwH5ug4Df5tK0lje+jd+HXIZsvnzDZy46CamLg2
YHWRcKDvh5mqZ1+lornKMJM1j4IFlNprtfhAmtu12HmqEwHV5G5groso8ooLUtbr09Bl3qMzO+03
WqxJfhszSbjwUsfozoTSpjFx1EVJg2DqxwXReSKd/Dsw0F67d1DyOsCiVFxvGi0rCPr1MiuqNX3e
o8qsd8rtvwLBGVFNJmWkc/aHyGN/nTRzPLgEPYZzJUkhaOppF5Qe5SThi1lnXxKrADZK1xpnU5Cp
8EXzAJJRi9zXS1puU/zyJ3YQ7XOqZcklhCMjxPQ5X3OWba877uZpkZzW0mx8sotgPnWBq6Ex1Ya9
UU/zBgUh5RZRDQNgR6u7yLIj/mo0mjPAxFhij8FsCyEDXTdYN/xj9l21EDmQt1pyXGxsEETsxaeu
MrOT1JNL1yhLfAuGuAS/JKM58dpvg+WiI5+ceZ+1Ktvh9wq2WqJzuCbzYTvGtqCXmeKYkqjEQ0ye
/mGgtcI00iQLhEzCV5sk2zkUGKVBcxNCa3wnC8L1v8KfxNT+MtgeEUb3cWuvcxbkK1lV/vsQ9/86
xIHsYLr4fx/icOjUf77I7GX4pSP645/9PMeBhFkblPiETYt+g2/Qw/zZ3vSsP1Bwkb5EC9M2AO3R
evwLQ23+oSPXRGPDGe7HYe0vkIyt/8ERjuQ1a2VHczL812CCbxlx/zNU4EOQqgUMzsDgYWWGlv3r
TMUxZ46a+EcOTZ0YOHMz3itk04go5cPsFs8+47+NaBZJwuwUhMCL+s00zcXJJ+071KV/9pVPcGeJ
4Wcaykvl2yRxaC5laWeRE6mx+OY0Z+bBph1C/UGHs9IjVkvCizF87USgcfByByRqgXknsFtCu2Uh
yW2/2BqtN20Sg8/kpVFhzig31NlfIsz7D6oM2ACyZtOKZsVt5s+uJvSorPjrhcF6SLuzOwrVPRh+
KtCVQfXNUZdtq9j7gmTjU24Zz6rj4xFfP5RN9sorBOasgXaPtvHOwJ6GkJnfxxWT3Opd++BiKceA
B2Ru1Pj16oRR6VTVeqQ079h1/jGpUSDHPZeGYNRtIitkG3nxijoK0qrLpUSn3kd6yw8tFZfABsLG
r8Bl0P1jlfV9FHf8LaXzHZA2UOvFzK6JYm4OBPWKXVOygLqty/9a2HejP8jt+i9zG2hWFgygzMy1
kJ65BKK05NaRxnKXNOVdMJdqW/Z8JLBS58KxW77+aJnboeULWcItIqAS90UfUHPi041YjV/num2Y
CnVm6MQzJUQx00EDSvESl5rBdQjOqHfk1qpLbHQYt+ndYqS0pe/jO1IcWwkvO5NDW0BD5DSEjA6g
OZEkh9Hn6lk9Hzo63tE3tPPbQwKun3OG3faR8HgOjNm6q5SPA0cPziMn4dAs+I9Kd+4U2QthkhNO
y0kh2Bm4H6ImqaaTF0iTht36FEn+LmOC66w36Ho1vbn1FFNMNwbavZg8WHTUIQc4zjXP8yvOAaoP
JgubcsyeQVZw7xf+RBgDjG9Dq6NR+qAIMI2EVcVVgqyLi94Ty5Xe9kGIMP7h7X5XsMCx5vNYyZHf
F0NjsNoEuPUthcXg+uVJN5JXXnKeatZylBs8nb7Ho9Ks7wJ9xPm+TPkjvpBnQPXc/ymgmBL4kAcu
F43oMylxcju2vCeeN8ankZncVcqRBGJC/+DBEMLZzB32Bx4mn7fx7WIQsqM4g/FXRVE9V7Ast4Te
tieoCs6WSCncH0UPIZnD5Keqz0VoMq3YjIBAQwtj0g4rp7ntsBBFVWdzSXXFd0jS/sLvtWlPiwXz
YRtnkNUW0L0eLyVHxctsBMJNS4KnDKIa4pW6uPJNXlRLZyEg/q+knE3Krc57Apkxu1Opc/32egFN
Xg66AS95shkiDLTtN1C5mw2jyD6y8WOcklSv9xM1zGr54jUsmE++3VvGk6v7ob50ybhjCeERqAUk
aGvk2rw95YtXEHwmumDPsaHYzjitdnT3ywi7pQjfHoD1CecVv8vspd5bM8tYoHi/7SVYDm+3WQ7k
dciOx4jektyq3IifIJpoBwf0dojZgDJxMLRDHFisXk72TOHGLTCKV86/KJwgwm1JGcnCypJBaNZG
fNK7ob70Mn26diZn74/5MyZUQim8sb6MC7MgqoY3ApOrdkgc3tOGzv/l7KXBznN5yOrKqi/Bv/Pp
WI9ZeysakSwOxsKBeLLJMClhvOORuATwr0K7t9zQk7oV4YTqN63Zd8fRRcXm1aRVT1mlAwYl5kaD
JkYahsHiNnLr3mx68WDepQzq8bPU815IFhNcTSoELIoWVvEVIEjwFmGDPBDDxH8QifRjbTID4M5v
L63KXEUvQTvzs9Nbp+OR6Bz7zpxX2ioM9Y3D+ZxtZ+RhaidBIzzj/jWlHqFGqC8n156uB6945ZjF
pSFHCkA5l5hsgyIqKn7kYHBf7ZopDHz2PtJQMW8gsWBfK7X41qScj3AIlHs/bl9JYdt41ZADQmB8
kWSsJ7ZWZjuj614QaTnMypmFNK33pWrsZlto6a02DteEW+UbC8Lpac7I5maMRWoJhMlZ36JJhYpY
Txpwv6VcvhVOCaXapSJwt8Dhe42g6y5/NvNmijjYBRBKdfPsJEUZobIlxnxO+uGEeY1baOnkIWzi
xLCHba4zAEibTN6miY2CH0RGSSsOtxfDtbmQ+pbhQNdvOS4LI3TbViM+bXjSZNN8h7X7Ymd6M2wS
aype/dbSAL3hVlqIWwkmcoLqrtkFVYE7GvRLS+pZ3vHO57bSooStKML6EV/hbVy0XWnhYbouzNT3
GHzYfXXAtSq1B6ABKkxB55aXcRpYOJu60oCSPxdtdu0ooCzbBMKi9qkeKB9wbp//Vord/qhgPkqw
oK5BJeITXuEhEEYO9mtdUwaaudhNR0ZMNnMKWdJXWCM+S5B/hhMAaIKImdDO/tGU8qtG5b/YO7Pl
uI10675KvwAcQGL+L1FzkSySxVk3CEokMc9TIp/+LNBS29J/2n187xuFwjLJKhaQ+Ia91/6sp6BD
MqmhnV5MB7/UU/5sCTyk9bA3ps/DjnvQTGDxT5CaQLp9/PW7ZJ7/J7XR95/msg4gFwrq3a/SOhLm
NIul7bDPZy6QpRLwMwahEYO39edP+kff8F82OSgM/nKTs37PX6fX9v3Pm5zfv+ZHBwAYnKBVrFAY
ljAqLmX+jw7ApjkghhvKpIGOfxEx/Fjk+L9x6dIdwMaiRTCXtuE7SZIcGrj/kKthiUPNEsDO/4bA
AcfUL5fQIuZnMYRoDbIee6ZfLtgspSYylN/sZ2eOn1mll/XaqU1W7hJG6Uq6Lfl8dTPf5BX+/lUe
U1Tprg+JQ0f/MyYlNaepjOcwGQpUpmXmrBBATe+yd7Tl6Z4yx2MxkUf9TYnjLEDH8IUMAm5Flq3b
MmJzPpt6tAFN65CrYrnJPqQmu0t7HniSSeYpT23aeG+gbnRh51iLz6I9OoaeURLwcNdccu77uG0C
Bi7thcT9DwrBZEQv7XRHpAIZdTht64OrkvAAU6Y/k2RvHVkFfUndRntO8oLnT1M6gdXIcsfUIdrU
S4NSe119rSSHRCG725HMEFsjTbEE4ECQnLjlXs+2vp/F69k2tSCl+t9ht/+o2SoQ2uj3uL9RcG/s
mrW8aHroIIqfHo/i1jGlHiRuf0VMHrwPQZFhePfhOFwZQA6CGEnd1CjjUvIQYEBLfIzwpuUPOGFz
cWl59TP+MVgWRi8h90ZfKLAPy9wvWJYV2Zx9aWxqP7eq7gAkqRc4jfq6Rm28RoU9bIclwgsX5IpL
8F6a4SZ0EQRkBE7yEgAu2Xxrv5HmDtO7fm1mmrZlQw+ytvPzx4pm7tGQJjXRUvk3UWhucYtIFiEI
qWO9+OhUfaM7lgK1pB17rI2vFeya+xrtB8rMkMxBs843E2XgTT5BevGUx967b65n/LfPVubdO11S
7SpJqK7RzcxWwszdKDh7e79xvA2akodc1UTwoJd5iKwwOlrwNV1KlAWS7ofDN00HR7hyG9287QF6
n4qkIZVxgj1FcxI3apPH5Z2pGXKD06GN16Iyz13es2r3QtjrZozFmDuH5IoxWceYfqBuycbftY3J
GDGqDYMCYa4Q3dtkrHijU52EIYcL3BI9XI5Wsx9c3KoXVuHoZJv047oD7b4qklQkSBGyqtoapCy1
rB9n/QKsjN0fKubgaHHSfv4gBkVpO9KTq/Bj9t3pKhfESgYR3lYqwAR9HA98huWpcffPQf9/AQYv
DircOP953HN6n/51fG+79/nPZ/33L/tx2Ju/sXnnlEcphjj7cwH/x2Fv81+QreIPNI0/HfYWijUS
xVziwFjdU7ew0P/jsMcLw4yIf9GthcX3dw57UMP//2FPSIX3qWfDYfRrvcBMhv5gsEkrGLXEXJUt
IwJ4Sm12EYejfSGZcYx3Eakmx0pHCHbgeO9v4xrH/y5LDcDobTvmRRBnFPcu7He0sBy2oiYwOopY
rd76Y6fv3KykzvebdKWkNp2izIhNmnn0aFKU9jP4r9fcmIk8zIv7kY3yXZ9V6hYk431VRyma6ZpQ
scrJw44AadrflkbwCrs4wUBe6hnnDoxI0Ne9/uxnBseWpiXiXJZTduxaWtKqoEFyar5wclzypGxX
ngpJ/2lohnEOlWAC1Gn+RydaanOc+1Dxx0K1BIXyYGE5kNWv5kiroyb6emV1dFXLLwoPOdgxN/7K
54/nB0kdaB5jbA921ipvhyPar8CGDQeVpdYKewdf2NkTmbSiBBTLM8kv/KcxhZiyKnNPf0YGrq6c
mrbSFktHqRM51E90YKNGd68MbwInl2rztkvoDqekMgdQ7X5rk0tAqnQwdabat6k3FGtRR9rLMJj2
HeFTRRE4g2lctl7n67tF1vY4Z7SN6zGC1dcW3pI9RNNMlmkRy2uvzrUPFU+sl2nfEU/J+I0WRp5q
9Je7z9fXLa+KK7slyYc/DyLv+TBKVnBMytxy2i5d624Agg+9plbbBFvepoOGyFZyBFLv9om4jDxj
wAM19PDqLh0RxgC5ciNTewfZqbmNbTdLdqYy0QSmodJwrFQLI7k6QC0idqhPx2HbJ5F4rjVwm1uj
nj19x6VC/klfcC14dXZkDtSt+emMFNk4YmdBQnNXsUd8bDUzv4vrdl427t0lrB2fnfrobWNTtM4a
qAfYFXuILhilx0/pvEzKiKG60Go+bGhyGY/H3mbuVvEmP8eIthJdyZDetxBPNZQojt87gUxr9aLI
PNoxCSXjIxfmx+SYLIzCtoAeZJhKAlITaULpkOp9fMrYBNjKh44GK8oRdLp45vmEg7Gt3HRDTmp3
Bv85X8E2yVZmlSVr1euoJkhGkSvCS70d9lNjS3iq+QgRItsVntTY6zkxgdSyTwpvBwwacXVlPaP5
Hy4LW38iBn6mVRybCTPToDS1GbP8qohChQ3WcJxtAvNxBbkVCIyelcco9CyShgevvVYqr26AHRe3
nWY622meixs7sYzjEJV+YLAK2xS4HPfKdfoNLj91jK0mI9tLTOZqym3zQRLaGgDlpGbAF8WNCj0v
sDoSYImJS7ioJlZVyInkZtmE5XhZU7UakKrtUMcQrGr66bUE03dRakS69cCGNmM8kj6uu+xFCEzI
ofp7mm9d5n6TDGtsle7zqLTkKjSMaMnmSFkRVAfoWM5a1T7DIcd0Jh7mVUxaU2qyPdb5mlfV+Nz0
WtrKco9tqLlrfMiHm2k0YiQUo5ngkSzVAwsefaPSJj6N+L6OSq+rR81h6yMaF+EvSqCKDhgNvbYh
Et2oF3SnxbR9yfMYShu2GAeFwUByYoblOPPFFNbVbSxV9+Tz/k1EM0qmh7qoCPdwVNQe2QrFK7Db
gwoyEmp7stZtVvd6A3hKxW5lYMuoWwJ1RXzvuJGuMN4RQCHaIr0Y+8XyPLaspwljd5LAdFg+tf4o
d7EekbsyF6+V0huWVLM4VCGqXUo+gq6ynMMfbSiwvEmmJj+CTMoVvML2pvWy7Pg5NKqYC9wKZ+RU
6gigffk8WfBThh++LLJjXnGHMnYx9N/votrh0JLQzh4xOHhrR9M5VkdRYSlwZ54wbeUw4Ys4nglg
FRa3wyTOBsbvdUXNL9elwNq3gjqkriZ9GnH+LCLME0/7+dQxrJzX1bK96Fg9XLUoxn83t/3TF/+X
vhioMZ3if66WfngF/lV9/GtF0GXxNfnJBPD71/8omxzKJjpj7NWfS7KlOPpRNrm/UZd5PjUTXuCl
Tf6jSfZ+Qx3pL4pGA7SJ6/BPf9RNOABAE/gegmIh+Ke/0yT/InZETYmP1QJ3KvAn4Bj+pUcmyJAS
Zpb6HkooKuwP0o+u5RweUs9blxP21UQ/EiSyoe94NjIaQbP7ffzyTf6/6L36X8ZZy+bxp0nP8hKW
JFa2dVDLFlvDT96nimyx2vMifV+1s34KrefZry+7MduUBdEwAp9f3wxrv45K/PfhVU0htcNBVW4m
8WKxilEx828tutJ5sCaVt+19cJGucWoWfbRljwHTx7U2RhwJ9TcLqQ6MxWAoMfVlX1JWJ8tfZ4tc
6GR+6BSkpYK4Im0z2/7eqsh/xPDlXLIRKMkl1cnODLS2M821niFuNsvH2YPDyjWxl6hQCjKhyQK7
iIYJFXyqsKTi4fVyVlgemdF2yqyT0KlNl12yrL+lURs2siSEXkPh4fgvhklxEXE4d7wCOqDAd8yV
5bgQrXzinDmZq3w9ymJF6OtZatggmqndZF2xGfv6C+29vkvy4Sbq3As2il8VaV6ciKvGmfIdyCcv
mHoeJWZZfiukpVP5knI669O30orWEaHUl2U32ew261XtdPww6p3MvI6KNFr904v9X3oxQ+Du+avT
ZfdetdHPB8r3r/l+onj6b8tIC4KALgCkWIvx//uJ4tm/oREFquq6PNOROPFPP8ZunDs/ThCdwBaM
hpjYPZcWXvydA4Sz59fbdxn88c10BxORsB1+0J+ti76oSi+svHwPFudlosQO+i6rNrR+z9hz7lp0
LaU+NM9eYTwj5De2g0vZL8djP7veRmmNOJjogQ9EiqqAhBL74A9ZvuMswJiiNWjdRr/9mMORmN6Y
Sh9Yin6pRXn9hfGfftYw7e6wuQ9rE2LnqvaSZAv6Dx1u5J4Z4nk3k0qYDPXFBWCNie8GYdCEz7bp
NIEIbLLao963C6vsGrYMJpXe6oM0l4e2c9UtDaO9rtzJXRnzNNwT7J6tolmGhxhwRmBpxu1EIuiu
66MnxyKfFEtLvnOLPL7q9cS4SE1ek07A1A2b/nZjoxK9wfiFFz1/HBDqDCaWmbnBzFi44ytpSSzI
zXFat6hnvibM8i6yyVJM/xSYUpK7djZSyw08O3c3lXO3mqxcbhiLvQHxNLfWIMJ1kjnWsud+FeOM
XK8fj6mfFVuGRNM6VWT6qR7+NA5zqK9ueS6abtt/Zm5o1+ESuDZojdzXpj8Fklrr7Ncif+5Hu35i
6LYtCChlLlecMxoo8jG8lvxiDzXaKhzyq7Y2o2kjSNlbNWWTPQ+qSm4zM2aV3UHlME1oZkEdje0d
i5nwjsm/fWFls3IDraBzR1fcsFKpkxP50tMzltjuzSdg8VEWJnA9pPUTCy3Xu4xHn7y5iRV5M8CA
dydQGmVuYuvKxWjve9OrX9wkxRWVumP+WGYlsoCc4C48r8bJKpXuBpRlFZHVet1euo3w1thtDX55
vsAzFg/gMDpRlwxSQ8ptVZHM1WiK8WEDX6lBf5thsDIqUg15IlQXM6P2rZjc9IsrRg0jeggxCNl9
+JiKvLrzzBCGW5FUd0jJjZPpyOrCmlL/ElF5+qWGIIb+yXDJ5EoyZWyLFBk5i0t5M9sji/E+49E3
AJbYdAm+NjUBxDH7CTOsDXF63Tae9cowkFY4gX/QDq550ExzSFcR3ec+WojvbTxKCKsQ/7DWLDY2
ALb3Y2WXRzaHCY9TxHVrAI3zjYi4NO0BUcTe7kbefDNH8xkvA6+xADh7hstYXRBK49CwER62wS/A
N2RWGzfYAMklm0cSNWVf1C8x998ugYOCqhb91zoElbVk1BKyVhtlcpoRi7wljRp3xmDW77Zs5U04
4N/+fGVpmNbedgTVDwgQ6/RtpGIMD4jfoEyGsXdrSa5Ba8kgo9m3aHHL4b5LrWlVObPDrH55471Z
zOcZt9GDKwv+R7oncbDH34lL1bzRwavv0slKv3xeaczj+Wkq8rHsGbMATAORYoOWtbqe6gUEEEcp
AZmqyR8tfxJPU0m4MXltlnuLwtI6VFkoz4ZE/Ny2zJlFNLhAo0c+1IGgtyMCBT41waJ5m09F/9a7
cYIiunKuiWudL5rQEOdQT73z1MB3i7kikXn6dvjFF+wAUIvGCSN6kja10eMnujM0jzyKtTv43BhU
SBi+Qybq7yqmvZvPT6uYSGODk9V5qy4LS1jt/eitKso7NuuWfWk0nRUix2D5sXYivv2w8AldwpdY
3/JH4mE3w2W4Ek2VrLpUnbqSVpClCcxWRlw4J0e7+lKSxh0Rn7PyvSvRD9f6FN3E4OWDHDY53NwP
e/IvoF7h39ZYsAj3LDtza47xrnfUY9R2ztrWpXfpOHzDOrQpaTSGbzOWbFFW557n2ACWt0LfmBjO
2arTB3KdjZNDYDqAVi9aO9jlVoZbWqukmE9QB+iMgVmH1dEs3fDG6DV5bUiRbr0qYmI1eU5M5mlG
L+2P1mZGNgJwFgfBODL3772siddaa7yRQL0aG/HelLD+GkLtLsjeBhEqCnzYwv7WGv2+9OxbPMBk
bI6Dec2MIHzRmOVA3/4GvwtpeNkVW0zpdLJzOW60wsTA3sFQCEQrRiotp7obmJ0CTEzVWzHaK6Fi
AAkoMrd1L+/KdKiPvpvtTHIYoPsqPuDEMbayGcIgnebsMnOMB2fWBWqc5pDJuTgQfGvuJw7hte4N
NTVmBjbLR5obKSS1VfXS4MgMJJCjyznT3WPLhb9LZ0df22P4ohtFs0JnEgzGjGOnPteJ574ngg2W
NTX6F9fRsMRk2X1vdOkrMmh4yunYBbgMvBXqzS4IO78/WnhSIMwqxXlgjvk+wumBIxfc20qxavfD
u6bo3uK5DzF1evOJ1NSp3pjRmBBs2AsMHKBYh40aRXlZGc4p58y/5bLCQOGExg0YCYsmACbdqiBX
Z5+VWb22OqxJnSHq9w7owwZhz2EuCIIz6/p1YNG3bhgdQjIan3WApCu94mnvi8beoWP4hjH7pYnN
nT434cPEGC4gV20MbJPpVAUH4qq1EKTOJfx/bkMWKGX0DMm2I4bRXPdgzC7RrUUbigTvjfnceHbt
xHjI2IBQQ7ARXXWWMx8nWGYo50XoQSwf04fUxbBhdVbx3rGreu/RE5B1WriLCC9cV6M2bnmmT9us
42ujwtwgQ9BPbphWtzjlJMKFhsrK1OxgqlvvVI/19KWEo/1lEoZ5cvDYrGwqrKDFBb1maEeAZtEn
g7uKS7tZhVnh+QuMILocJaaTYydCQwaEW6F09Jth60VNoXNLRI+9I7Vrx2i9VWYK2fAh4mUI20hj
wJYOl67dWlwxJZqNqrGR+lpq4jEoh+pUodE8EhLENq6xC2SETfjI+Ko/TwQTpBsFV4/cB7/UTn3k
2QcqhWxn6FWzSSTOYhZplbVhJPJRotO6NqB1PUxtMu1RpTdP8LsBnHMWriO1hOa6E1oYiwg+3VVA
sKnCinHUjnrFAVYzwttXIWlVddunqzScw23FepKXlTe72cq/uh1dUteG03XGwOaqDcsWJUjV7hrB
fniYsnBFzXAlK7jCmraLRIRRxFMvadtW9ToFXIsOrGnZXmZGkIBV2haW3q9YRFg7YhSuyPxEtFFp
PAYGlot23o03iklvkI3ERFTO6F3PU5PfNWk37ZkDai/op06oQ7v3ycUR0Dhzv/XBRm+HPKyhTuA8
bNskWQ+t4hYHGxTAqDrzBK2uwesO0O2HOeiwGD+atdzJSUZrhut3s2O6J5kIxI6el+7m0thh8cKk
Y7QbmIPRO9QVfN088kbou5uRYMSNhDd/TEajw9jfhQdEepdJ1Jyt0LbX+BDSA1R3eRGmHnTvdQpe
24Dxrs5+xulqXLgDcrBxky6263qXFYB4b8HoNWwuhyVslje8RM/6nzm0UbRk0ma/B9S605JWK6l/
1aVNqZKt0s9E23kJt5WfObf276G3PLfBQhUYVwT85CUZN8bBM1qB85mZy9PwSZKiiwF63BafwbrW
MN2FS9iuscTukk5dsfq3raveVs+NMpONqp1z4gO4TlXPgnuJ8M2xtlw3LrG+3RLwmy5Rv0Zn9FfT
Ev+bkAPcRrPYTLYYr7yRkGC0EtYRawaDUJsMYX8JE55cpzlHlCobSFjmeiZzGHrewuAe0tdpCSRO
PrOJQakdC4244iiF5Zw1XbmCjSBX4RJrXC8Bx7LHG6R7SFY1DF6YUS/Usvgh1vvNFWzWrabA7WiA
7KmsbzGSyDWRP/5xjhTJyuy+KPqjue2/6tbUv0HTTC+nJY5ZeB2oniWiGbHrnT4Ovo4emVHzOhv7
7KA+c52VsuZLK2kxjC2xzzmIgKsuLr7RgMItrgS+UmYOyHLxW1XrhPToZomR7rWmeHPHJVt6gmy8
BWw0bltDb18oX5wNICR57kPMT9RAZzMhqtr8TK022HcfEaVgZltCreUSb+1gaLlgeF5eqnxJv27m
Pr/Oysa1md8Sj102HUnZ4RKaXRgxjwL9M0ub1rCiDsh9743hEwfHGNnGOVkiuJFB1y9qieVWnwnd
42datwN+iyRyfSrvGbCz2DCUhw2sr7YdB+PGM9QhmZGt1tB6eECr7JQwBnox4IGia3ZRithljOIX
n32F2qHiEoooStLKg+VWJn5/jySmjcINuomSXVFA9dyreQU/XMF5wxkIG6Hpxo+4K4q9a/bJvm2m
GmNw+Z5JbHHdHLq0j91l1g4FfVbrnZ1CH2+iuK/P2LjUOkN4gWrb0vBSVWgNyHdZp74XHnlhDzR+
4dr142qLT9g75OQu/2Oa/9f/yW9hmI7NCPc/z5T3KK2S5M/b9+9f8n3oY9gAY5btOmA00yYNAK3T
96EP+6TfYD9bBkvv3xVV/x76CPEbS3woTyS5WZ9m+38PgQwmzGAMEfNBevzbZgv75xkuTDDS3jH0
kW+nM68mI/jnIRA+xVyl7KrucMvWPHNU0c1IyxlOrVRe+Je1FbW3ODDab1jX4LHEmXamuID2ZWnA
//KEAHv2sgj8ddCSa83Bxu1rWBflWL90us734XJEor/Ef9+ws6qhZtY2IdqxzLYD5LRNjYHhUmhw
+DijJ4J8s3lXoWI6q5Rdso+xL4gNbXgvWQgS42RN1rXGw/haljnbpbjrp1dSoeZX8q/mhJqKX9sq
jhATBC1L8C0dcHO0Z63+ypYofWVXM99o2YyxhALwZW5Vu2JEnbk0xap/H9vIoH8h1TuCvnMbxc4t
HQiLT0D24mGZ+mT/ZYz+Kfv8w+7y+RE4jufyqerIJUHm//wRFLBQUy3snDvVmv7BRguxqYVsiWOv
JApNE5EWI2lR+DeQRcQlLnbeWu14FcLcTKd7jGFWQTysDr4axisV2vEJCkL1BuJKeyLipTvHC1TL
TtL0iobawEq4dPK01N4uinFwDJ1ZXXte+9DDSNnb9XSJMU7ci1jsEHG/pQ3e+j/dJP/b7uBn1Qdv
2lqUqMukk7GqhWr05zddQz6NUOsBaauK8MVYPv0IpM0zrHB5owHeJm7JbA/Ai9G2x1SPQUECy7bj
aYKnR+pf68xYhi/2JK8XAdJxqtjZhTN/a+AwvpN9Y1xEmPmu48HBA4Db9cb2wkeGMWLnJ4xKSCNA
k53l+j5hX0LicavtsK8667lqUTroBde02evjha7Mt9IZLqdWGPt+CO39jGGmB9ND6jQ2jY20cS3o
TBm2dvKS1z7JAFY1fUtiJCF5b07fas7rA5lG7b7FABKgMqB5/FQOTPLMTZmdMBFyM3VZss/MNx1B
Vgs+jy30OmOtf+HxSAYY4clhnSQg41nBMxJT2E0Ey2908aU8E6IAWwF2dXpVxGZzSfKJeJpRTr57
OWUExhp6dYRcqCqlIo6+hE6092WdXECX1q9Cdkk3XmmMVzaVSk/LjhNl08Qq3c8tdhE0J5E4E0Yq
r7ve4BdK5tQWTiy+GXu5N7VM3Rbj1D1ZMdwLHwDjpUV4x0pnUvZf2Me/nFk4wmAdIKUEZ26yT4PL
+PO1IyKc6tHoaucYi/Ft7yPz0KAOPc5yWsQw2LbgdHPttJX6NglPrTp2OfPKmub4La0rRCQoPY5N
rzdPbmNhM49zfdegXpT+YiEZnOIBrAYK/7G1cx7miApzPvvLKiSQXO8jtelwNOPOqMQZeRLCIJis
i51Mm6+sxWTBcTVvCeURy4GKYKS1697Y2L0mNrhsgQykcpQnFsHq9vOyrVNcIEnizFdtg3PCqBHY
VYsax9MKtu2p0T2VmmpwDSVIm4o6BplHp5V8LfVs11StVqyw46BpMYfB2VmzQpiYebF37enEKm7+
+tb9tN/9cV4tv36kYh7pHOBelk3Ecmv/CXk4NVgE2H2HZ9HW6Gl7wzWCuW20u1QhCGkN1Dio+zvt
Pp0TNua2rP36imifWO48GLi05tyDDIVyhD1eNtav2egg4vEpiVAPGm34wtiKN7PMfA8oJbTt338D
rPJ4WY7guQwi/+c3UKqsa42YLUPusIUH5idPTR1F24a8RxAtJedM2EycF8LhiMEer23wRNV4rnX7
wpgwO3Pv4RUTc/VqStcAsSHxC4h6CLdN7oX3udvAV43LiI70r1/7L/Gun798CzOVYTA39QWr359f
OxPkpFXWZJ+rwUbuNHVd+MHVHHr7tmtz8hMSdZXKTl7nEN12/aeuSpSlc/DqZDx+ytAmZpKH3J5a
SFWNdk9Ukr/zJwshaNsM5bXyOtIlBO9/KshZYyk0dR9IYJmp+In1tQun4aAr5Y20NEreDNaUlTsX
WyOWDFsFchl49sMQPgmi4/cQVLwjCHtsXcjOt3lnRts6j+VL65Rq105jSO0dtxtVuqW36oWQ7/CI
Oa+g1KFv7WphbJRZQzOoMnLN2n1HNkoTmFldH3KLiVfpcqtTE8ibz1sv9LXorQ21GFhaxn8cmJ8d
lWzFmfaJUXmR4sRhbBS/6XWntim+zheuvPEdiMdygiy/mtQNj0OCNsNiM50EFowz5mitHswwbu/1
Wih2xfgdEcul38yqwFsexfKQTQLFyjIY1CzaRAJlu7XNQPaElp1nyV9fCBSJfNI/3Ybo8KkZ4CfZ
n+XgL2UDZzWOM6jgZ7ryHru6zg0WfJ7N+SQZiYQNGFSQJ0mAUz7aUorVr47oFWsgzqRNVHSHGMwu
OuI0PzYJI7pgLvQkW41amhRwNcpt3zC5CriT9K8zXNGHJYv6q6DZfx8S19LWeIILd93FXgXignLs
aiSnFZ2VPnMdWCVy99zMw3ybG2AAAl8Vw96jc1rPqnYP0ioemLcbSHbibs5XmiCJrHG0WyYh87Tu
Bn14I5mRIzIrF0Iotk9pqG5ncdfu3RxSYaAvn2s9Jf0TPMQ9OniWKlIkauOb85NR12imK/gNvJ6Y
2KeUGwKNPRdrKjprRT6N+w28arFuiR48Vkaq75VPVhkjB9XsFGOj6krI0PJXcFniR54DyWOnpXB2
VD2ZKLaTIn3qWDGw5cgaJ9rH1C3wAE1Og6AjuulN813jrI3TUuC0sjrqHlJ+jbzgdUtjGBGji6aS
/QsGs27IOPIQIvGL6qaWv4f9wG0ASQHJm+d0lrXOMbXdR1HfHULd4qmjjNT8GpPijG7VcOrsQuv7
pfzx59uoJw5zo5jFfC1yFKyrvkHItGy79JVWouGPbKSpMxcC439Yghdk/cRMG9F6PBuVSjyup0Hd
piXykcBwU3luqS33MAN9eHWEw34I0OlEMCltg9AGIaLHYBcuQqumDYY7+C644uKV09LZIjznKkwa
qsxARu26xwhHI1uH+joxVf6BXfRM65wnK5uyNQwmoicZHWbFyXWL+EYU7rTiYcAUo/Nndft5I/0j
lrr/a0gq1dNfU1Lv3+XPMLjvX/G9sfVNuG7Amn3Dd9zvCvEfja3u/IZminicRV/8yXX7t5rB+c0i
IEa4wMgtHdEQxcN3dYOw8RfBbaMz0AluWfByf0cfZf3SV9k8Im0LGAGKIkN3TH7Wz49KvSdLqmHQ
zbhTtE+jZrlBl5OzI0V+UobWbGKqxkCyYzi7k3dFAzw+Y4dv7upKu2v0tjsOM9rgxnN5ErCBPcyE
h4S7kaQKHiuN9jq4LsmbMFebPXGscCFtW0TdTenamMQti1FmEWhlbrgHxehdnFCd6tVDlzcCUzwF
c2UiFcbEfOUBN1ryRcdJScnsdGQvSSACku2tUpHujoym2rZ5yD3OVxm4ZZEboC2lA89MhH6/cWPd
6rZxbokaawuLYBGkZUbrxeN4ngklwwNvHN1qFo8W7s2G5WRl0D/2VihRiQt3tg8DkcZMMbM5cdP7
kDC6AQGWywNmHTOSfk3L0HuLnDRyYRN1hJFtYHHqIzS4Dmcwask2rUlkzq1uhyJNXHhQTBg3O37M
XHkhH0y9a3fbEUv+uCGtHeMjkzQsy1X9IsukL4KcqFEAs9IjdsqzX2aGuQFZu/GesvcuyvOaD2tI
rxr2ivtUTI9plZg7LFlpYBR+tM+wfS/RClH8BJZkilhnw9Dy5FVltRfxNAxPXVQwBsyhNhcyjoJy
xEs6Rs63XoZgYJj4MQnp2JdS+UvzEMnsUY4EBc6+kR4ZnnyNkoog9DAb7pQ3wE1SWgHbRjxqJkGt
tltPu86N3S2Lzx0qwPOokkcnF1TySX8BBGsipTU6qbhBFDb0L1XRHYuxKvdZnyCYAU6DuY3h91w7
F3VNcmRLDmBMmioa5ewRme6yKdBw+Bbju5OUDlprFd5MfuWwJFgycam5gs4M19k8ZDtrtAzccuO1
QDi8HseRjZUR5jRBY3yJ5KO98nq6Vte29INbIb0ppbKDQYuAinWN9zUZxLhjo5l89eJGHmU7z5u6
sbUzkxYLB0D0HjKYv7a1/o4FJKvOYs53el1QLyd1ssdy5wRDojuBWc02unkbnTyTqAPnQrylSPK3
EbHMKzvW/N3oTO+VnRVE+OJOCzk7QOtQgEFHTL5WJlsw8gqJVY9algx6AVUBoOtSp5OYqjSaWn2E
7g8mLPCEvDdANQVtToZGHjLrLqeg6OoGc632ZM+hTuko02Pc2P5Kq6HQL9aTL4NyAXmgHkK0s7C4
G5Q4WKUhhI/ZcOGQ030zDK3XkFuhtI+qdzCTjB7KXVpxT4/WbToy750Lqe2BJQ3n2Rgn9y63svrG
0QXcN4i0yamGC0kdm7C0ckO3Wxn5kN53C2Cs1w0VQeutxLEcohZ6rNnz07iwMhWEU/9tyLE86+E4
3pDmZLBH4LJA65AbgQf55K2pOVQ3kWvNx6FPyj3033nydz2XllwU2ZQlDa82C6oO4rgBPDnhsR8i
7pfDEH8AKsMw4E0+Q2ZLb+rpJDy7e+lsrhbBxA1xtTEWOoFRfrGbEkb1BEcLRDkV7yybGG2kDpOi
ilNCYhUgf0fb2CZKDLOmVNbrxtywEgAyF4UIrTz1LA3Lf3STWmKk1F65pZ6ESvCkE9u4KZr+yJbB
OqXA49eIxVMU9clb2HntOhF18li0ab4gmu3kSsCBMIJiUIRyGYVxQ9v10OSCooaww2V4mVdHw++3
TGfHSzDQ9dla2EyZ1bmvorCZFmY+29D/Ye9MliNHrm37K8/eHGVw9Bi8SQSiYTDIYJfsJjBmsoi+
d0fjX38XWFXvqmR2r0lzaSDJVMpMJolwHD9777WrFYWhkpSP8TSzkYxX6tNSLuaNF0OxkzEh/URK
iY5NVzS/T71vvkFS66e2cGIPCNNoc2l0553RlenBL8e7MnWyXbYMx0mY8L1iqdd3iQ42S+zV95O9
vAGgcI9UDoe/emu492cnhWxf2COGPPnqLTmGVxN3PoUJV04pgqhQjGcbKVr5FTeOs8sNaVxjkUn3
AWabNdYZ7lhvgNlLgmQfO4LzAHE+w4t/0YY53kCgJDe0KB89Z7Y28wDAecRCtJOOlRzSEByOycJk
G+Y5mwvRH5ZVSQhseRMqTi0NAhTJHTXclCDxJe1yG28i+pOI6YFGPWsD6gLanFPh6qLp/tjN88FY
uvCqN8cY5D7xUt8Lq18LxdQwJmw448IwonYouiivmhJ6ZGANTyHF9pEdFEvU0dsVDbK7Cg3mzt5o
v+bO/1FlfrPT4aT25oBaTEGy5soF/IBy0BS/DogEo+g+V/t9KWN1LeZ1Zp+QzKn0qy8Wk8nZmlc8
oblQmJBJ80pTGng0CJ4ilNW08FKWsg0gHmyMgL+zKnJU36rgvOu8dw0elUogX+zSQr5bTVFcM8vG
2I5qSKz2tGxIVokzz8BwGDIHYbsovpQH8mFu9XvSrqkTDZBzky9wRuNGxCi/OUd/ESY/qxbaHhUO
/R1gjXgLo3K4nZxg5OWOodozkzeKe77asPudCzs3K5eBYZydl4orwxa4ZvdcBvxWGqfhplWz/OrZ
sW9zCuUismpYZQaqjBu3zO/xf7ar20Sfx0LybfCLd1UxknOYNpza2fgSLA0vDGk/sppCu0zQpPM5
4Fz3svKnhc9jW7ECuVJO5SG9+uDuQqPeD7muzpawph3UBawx9vJzSGNEBUKFm2lthZ0oSMW/1QXP
g2npu8IeKFqvsUt5m9RXM2GPouXLR6vM3/jYF/KG3HXwhC7Ir7XN5bFX5IrLGZNkGSb3aiinOxec
9xt54UdM6fjIyuTWsZrhaKsgsUFT5ytMMeYbjfvT+cH9Y6KkzON6JQPQKTEk3g4YHD/pcaIQsMNz
AQOE3vOksT4p7KldtsKQ+6xWNJdRaHk09ewf/dkN3qdiMN+UOf/K21hetGkb+W4k+XOkjsm+uJU3
7oTOZzzwZkvU2KUUKrTGkAue6/JEmNVDR1Hqw7SYg7nl1IQZCwcRvJEzlF9DT//b+kFN+JmSyWw2
i997h7YVLh8ZKrjBsQ6s/bcK1hd4N/uxpcl2paec2bznrwMevp+0DJ/KKY11lDcpHbaJ/Vl6g/tY
e5n1SyQ560ON6xhhJlPzVTs1bHCygk7niAzR/MssgzJqGzU86qnvrmIOz5uRhthDWHt3bDaQUn3p
RyOvg/koDJ3zOHuj/xknfrVNrcG/hITUXty2d26Eytyor2jjcTMbr3rT6hIfpI/iLO3mobedPoPO
aA63wGuQyc0Yzp4vWwURs8cKjIV+WC41LV2HRPT5PvYnuWfTh4rE13WQvWcccjePq0PHiuCF06x4
4RWnXtmJmI9FLuOjmfvZlelOTLxx553whxm45YwBx96C2/45sbJ8uR6NpWJjkfYnqB18IFJzKnb0
FYUnAqtQRKpZAM9wVjDBmJCzMof+XupZvpiBVp9IKOMxGJrwGiy7vFBJ2f9An6B3xx8amgHszoME
42JEZrrSzyFVgUjarjtMMGc4YfGKOSqMdNjaAADKdhl3Wc7n4Rpdpap2QVx6PyYS6t5rUhh4g8Zg
5s0aKCfkg9jPkn2sNyc7lgQetOQifRv9Cc5g46tHcIloX0NaGzdlPWdvgA3qPWRR+tIrPZdXShHK
z4M8CTaOUwC7GVbvhRnP8f3I//WIGXOGLxg+YoOsGcI69bOu6iYyUj/fgylNrvuakZTCQNjzshqr
J5ES50MLsg5TUBVnqoAA9oPBAY7V0XtraOg/bt+6+0nU0z0cnL6PXB1Xq4wOQykXhANrTRaPjrKj
8ufkzmrteHkI/LxvLjOrNzcKk9mk1QBklWcxLLAiD3FObpSyrHb4ZNzMsHdt6PyanMdGJl6BFqKW
JvD74ZiHaYWnml5zfQ3509h6Qy52RPnrHu0+5RylwhDK0+DZR0l9zYsVZBXoHLqp/WPPIlL8pMkv
jkwjj5NzhsejA3Rr9jlGjATjs6VG8EDAkjh9ZN+cR2m0RzUAtJpR9raV6IyDdr00GoHDnoiFtFc9
z2SkpJ2d2alm29hS/hdyhvPLrFfHETtgmR/mqn0aijDO3gT4nW2Fr/VGrpvGgP2MG3lDEPxO8jU5
eqpiBIdlZGxhcfvPOseKjtqgnV04lMV+sAb9YTJYE/lvCZFwP0ZpNA8Nv+1JIz/et23WvqZs7B5w
woCwbPHjs6BtIzcVdgt3Am8bkVD6vsyY6YC14WEuRsE2NG9uHWwsEdk3B+fnWLHvgtmna5HvABas
w3m37Fi7gn8u/Sujrceo4eL+IJMs3PeFaX24zuwcq6JvN3HBycQ6K9j4RIEOWWKPLAbd4GxnlceP
d0inn1B2xgOhvIs9I12adX8Z+Uo2vTStbWtZy7ETZccopZIzZYfBvCGwMe14brp9G4IMhQbE/YaH
0oRrnqXwMKt0F5a8xmPU2PeBmR4mml8djQz9z6BZbFtPXg0ropTD1jANhKbctvdN7NAHEfrGRWJ3
ZEuZHullLG/mQkG4SGpoCQlUL/hQafp723rOTRwjS0ZtlxxjdndOMXDwq5Y8LPrUVvfIcX0hR146
03KP8hXejnNS7Chq8Y5UJbk7q4RsbQ5Nc8pMcRcEQJ2GAZ/TVrXJx+DXeVQ3iyRiJbrgtjCwus2V
Cc+wjB1iE6H9lmBlJ2Ex0DRRZWn1ZrTDW0cl3YbyxAN4d2Fumnb8NMmtH0Fia/yZfcn3TylywS4m
FwJRJaQnnGw5tYeEQssP8AMpHjSCW1Y9v7YBl4iERaTuPuu8fGUnuz5vymx2ioJD1oO2jdaCH7bM
wviUZ4P7UQwzteeJSSu8vXyvL2d8T73FOy9x5u7ceHnN0zL4+A5R8a3eyc5lkhS4TPEfRMrBwA59
zwTFLJm3c3PESrquf2ZIKldh15WE6keNxzUwf59qrmg5se4jJTlkdAm53NOLwkag7X/JdJYnH3F2
YwaFf2KvFaXp0iKteB0vYKM4WX413uuCdXuSdT+5rzGKLXVGR7zOq6tatSMhlHFYXkYJSIB9z41t
V/Ezo9RTZnTd1u+lf52SzN52s2ZwbAAeT7rDAKGMPqpH9R6K7mYCQrhJc+uZmA6OutFx9q2Ht3Ny
7eAlnUW1AQpdR6GJRoNX0X1izQvDQxfWdb2k58ygqqb1h+MypI+9J74ARDD/LUxHMN/rx7Sx3uxU
lFf2WDufdBz0kZn0dtQa1fPsB/ZX21YGEEGo5hLrNTkZY25ZWGuveiBej2WrSXJBRWUQv4+mwoY7
jyAtN6D8HzqB+LBBI8N6wAJi2ruDg2kDPIDgjgNcriBHDX+LHrhNa7sNQZAx9hWtP6kE28xnwDOL
/mTVjJI6S2auOnHEj6r1b4rcJX/gOQzW5B0xaukiExvP0mW9G4NSkIoz0xYgihdc8V/4R0UdfFlo
O7RAc3gEWXoKW5OtuMvLVSDbQx9U3aEwimQ3e5iufch1kVvOJ53R02iY4rnnlYTxUrYbZa27wLZO
tkuo/I0vPHoWXMmUlwn3YLlMwlD7OBK8uR+nY95AARu79yTQJ+KHJkaa1rwqEuMmpmcULJvb7fLO
P7VilPvJRs/1C688tS7rP+Le+JYZ9YGVz1RION25T8b7MB9W5wBPfLy4u3Cu79G264jFDBQ0B1ul
b8gUHv7CAlFXxmWynJdMOMO1pJIxmvAYbxPIacStW4zQTSWOQHqMqHfVcFXLxGRzgV3XLNzPdorD
e0Uo+pjHE2p3s7wXCd5SSy723i/gkefS/hm7o3icAph33rxM/ZbaT0j+gz8+cvZZG1BS/dYnG37q
O5ZRpsi3Ijacm7IPDPYswCR2vVkUx9CrbxxZDttY246KrGwK1Q7qHy5rxDvkDt6PgpTVvsiW9mMQ
OORdsndVVACP+wUEjoomKCHGR+NV/cU3S+NIdnSAceP78zEocmJEBVckmLc59UZZcuoNJ9mRPll+
Mmfx0Ura6iPLRXBpJju+0TIF5JN5X0kvlnYTpsZwIoYU3uvZoXsng4m4bTNz+gFhWd1ZVuro234O
GtyUftUc2IICagql3UZahxAjMDH7kVdkc9RaWd1vM720+6yl3s4xY+NWZL0LvpCXwTGLx6clcX8w
IbiPXZw0+wTH5JHPwbLz+oHAfhg8E4/ghE9r6zExyUOglpJQGeKPaq4xwlZxQNSC0oyILobCuEax
9OwzcBMwi3JMr5kh5LxPvL7B7Zh56uTQ6aA3ngQwcEjiaV6XRJCtJnZhzDQVLCLg4znjHa3FLtyN
pn/uW4eagS4IwCrR1gdT3WTHt7R5TCdSLt68Zg7t2ylzzaeR34D+hE7pF1UQb+VjjNxks6BeqULL
cGOrFnc6T0+Hd3uSB2ocs7Nu27bHymuv2FuVMDEtE8WflqzgGch1EuKUeUOTwpfbp8C6C5XLI6Zb
qLzG3DG0kvkGSGuUsCYDe350VStZPplF6224hhEpI9X7jF4MW4vYUBLVSZzMETs1EknFOJOf4oO2
0xitMwb6tb7V4hXNCFq10Wi3XxPjNenk7h7GAnEcipJObQF+223VdEiyuLunRst6oRGjniPX4cDW
vSvuho5Wwk3ZjcHD4Pa8TznLmrtSG+MLSD11smlYUptKE9XpF0O+FEBHbk06Cg9WC1+Hy+tg3w84
Nh5CI+b60oPtuqYU26JLMytOcgjGR8uyWYbiv+BTSv6zTzeVG9QWMyMYrswdcj6UE4HqiDhRDiew
D5P8lg2/5H0S9nZJOtla3L30sKX3oJ52sewT6gKK4U4nA8UN3tJaO5s11JNJS8Epdzgq6zJdvsq2
Em+xGBjUtCfBl7Fguk1DiqkwSGfdi/JwcE9rHjRpHF5mPFIRl51sZyYDfTHGFJgbVqPXPY1eV+ME
pbQF1nsmj0ZqpfCFeW50M/2QeY2X2gMTGqXGhMzbOzHHicTnXHTtrUsnwLFKRbIbRt0eaFxx4H4V
PCVGP8mboKzsV7a3Bi+xqX0yme/OSM/TXkmmf9aZPlsaI31YSM1sgzDBxY6WsU3aobpRMvxljELs
OJzio5e6lGAD1rgJRz4adm6lu6xbfY8iuKtnb76aCAmePMOnHhvjSeRIbh2KiXHLvrk/DWmoboze
L86g+n5CRhG7MV7MPcHvj2Sp0q3l0PKNd5+1oogJ7nX98gxAKd77mFtwEFIYYfCgH9IRkMbYQ80o
hoadTVPUi8WiTUepPWNwFoT8pNswy+JqectKImNcFTS2r9mj6U4M6i7wG/bA9NWWEc1/Y/kwu2kW
LSkvm9wtMGYXyNlnwycR4CLfsGMVTBpNuhdFQGSx0bfo+PzvZnw/gBa7TNjU6CornsPBerUTDmvX
qHeZY+uITclHWK/mR2qro2lKCT0YkFVr32j2liic4+RUByfJH3TQclVwXHcbguFbe0AuNg27G2rz
Xtqhy++8RB1jwzoyWMnDqJ3x3cB2tbVs49U2hbk3NRPy3BnZoR15Uc+B+qjCvLufVHevGqtcNmYT
8GoX60UQ2tolQFnfxqaVXnW0QZxBj346hq9uGqumGpTzH5qtpqIe9OKrnMi9AX8+jy3tfn3ZvfxH
tv6XYvhYR9GM/2dD9lUzffzNjv3HL/hLtTZ/E67vizV+vzaR/alYhwjWjsXLxvIFgvG35xuLs0z/
3/91Vp0bUqBPXj/0+HX/TUKDe09YfzXf4BWB9YFT/N9QrPkU/JOjJ4TP5oDYXH09lm/b/+TtYici
x9rPgpPZVfO1kQ+MZWh/DzON8J9VPeorIhcOQMGStjyE2ri45frQv+UA8Lkc+4NxJxKf+TtlYXTn
2DJ+LrQVO9ddNs+/UpnlCd1J8LS2ca1slgGzJozES2IX0yn1vLhyuldEwaGbQZ6OT2kelJ/juLjn
sVPBc0p0qt9oBrSK6BGvAe6TAC0wuF4hHWRXo4sMl+M9VRuvDl2UwMr2PsnH0hJo+lcouPo2D+fx
RWad8wATVumI1Uj8xQW5uiTGeFOUivgkF6b8Tcd29wFDcXyZk67aWtxVvshGtyiAidt1m37272il
DKtoXuzhDgv7fKM5+RBZcQ9++ZVh3Dd1TojGH6vkdjQsVsZO65PGGQLesvgunTN+8ALZHW083EB7
Sj80rJJjSYvmjjBl+sY9ixSpHQCrGnzX9qkg9crHRaTpRbnqym1owjpmU5kcCLAFJ1At48Fs5hY1
qqq8xypNNKnvmvZzFkKpxQ6JhjMNqq4WDBVOE35yoZ3bLX5i39xSLIfWyC5wS41pB02pAPoM9kpv
rIaLUNnN4fXqG9q4xD0xP4VtcOss1Mrs49FXD6NfdccEF8+xMMzhZ2rEgdyGVG80W0d77WNXUjYF
1sbYNtbMN4fTXGLFr8uLQI00N0Gi8wtboUZtE9cfX0uFzMG1RwbXhG9wN6R6QWxgqxuebGKcMkpI
gsHvZ8VSp4rJdYaVv3KbusiZZqYtzJ5IeXm1lnenrO04TL8Gfhd1NKXuMrjXdvM1obI4zI+a+keY
5vJX3dsedPI4KJ9jBWAK+22H2gMAC9qSN360kATvkJ04/Nva3YeG3XMVsDubWZqS182ciemi5ZDk
z51JqpsLuRFkJOEEsAl58MWYsWz307vKor2u/OSni6WNjW6f8b1lpctEf+ZVuDQwAijtim+ZR8Oo
Eg2vQEeOb5M7YadchPUjCfgziERGeakfnYGN61RD7NlikB7rY1yLNbHLIrPmE0r5AtUwi3TYt1WU
iBnY27dYzbdkDyYsHQLKX4iGNSCibzsp4n2eFitjne4AQtFruyrvybIQ1xZgtZvGZFczN84Dmaoj
iC6XsZj7B2tHMNtmvRy9ueP7vva8VZvRWeKIYY8n0Kk789Zwm8WLhkHBPKXMfQ/vRp6sqq/YMnNb
tOdwOisb+sbUVRiMXaXY7FW6u/YG7mtWrioU7tqB3t547oH9i3wwwuEea0O3KZr8i/TWDxIbG68M
ik94oU6UezhpmiwfngzFepFtvL9ld5zyxnTFI+R+Tq2gQj8LBwdejpcTk+PuRkg6CbajRdR3VGx0
nPo5dHpGbTY2G6Oxj7lMHuh2S8nMc4GMCaNu88xkqTSTBj32rCSg4Hvrd7uZnnCUp8hbS4jjwdHs
y7wR70tuPXgt7H6OJ4j7Tu9SvOawZ8B1OW8SZ1A3bliYu27O5zPtc/rFLh0H6yclWZTklBC00/Tk
K+k/+b6rrtsJZYpDauBM8RvOjk3mxgb1UjNXwLRgSjELPr0EkPM7PXI2FkkbHBtCIEdlhCT4hBHO
u2SgMiu2EHZkTfccKDZollnR3VbUTR58eInXRW99EN9Bs0qI4M0Uk20w98sdjczE96HFpfdTSfkX
9+aaZvak5Ltt2TkfVCB0VNxlCy+RwF631dks5y1W0fqckXK85GDeP0cT2zMtVBQ3ScvcmfQ5Rwzz
at8PQfXaNUFwl0rMIDRe1PI1D9y95SqDQW+uLwKJPFrKxHyixx4Ra3Hkmy8S59GHZXxP5QTmHNGZ
+7J11M2oJWUh+JdgDrBr2cG9KTl000w9MhE2pyAd7A974JG27W6ifKqrbwLRDsTnXHGBqFhsZzhT
fKqm5ZHR2wPmZIjsFvqMPFPMOJ5ZYSH7pG6+HfOhYGYMODLL5CLCIedWbWTkgZQfEOQNfBgxdhKR
17dWyT7VJ27R6b4q8uo2s8r4R1pr1IyqdYf35bu4ndtZdmaWHY7Er9nUaTH/rKQqUMtb/WSPNmvn
OPd7Up2ZTDbQon90hGvOtFdNZz01BGdLz8x53rr0gb5b8Ui+wdpzq2hh3HR4XMgNpy9t1+JbIqV7
lw7NytZfT3ve6PNHSmvhE6gWYlIkXebdxLoIu6SjYagoeeIieS8VgdtL0tuCBh10kpBtEFqXKMxX
FP6yPjYgtbMXAgsraEI2nuJNVJhBftENYOhNbatqp4TXRYs9zpBDoIJ+BnL0dnGx1Gz5URU2qe2Q
bel7OiCTdFGHyayephknMs3UCVAfONf8KMtI1XV5b1OwHbm1D56R5VPnofr9Zz7+V+ZjXJ3if4Xg
PTZKpv9n+wGJJ6v/Nin/+Uv/nJT94Dc2D6bveZ5JbPEf8HeBDYaKdjE8levMu/6TP2dl2/3NMgk5
gqiwmaddn1TXn+5Om/ooUtAubFNPuIy4zr8zK4Ma/vusDJXDNeHf+fyelFHa/9xpoGDN1qyo8ISP
vph2YVqwNMe1ER5Siuz3Xm2xCOKMDe5DPMZAyjOwNRP8noi2PRB5va3EUx5n9os3pMsdjNP6caTH
7j10xHzXapt8rj9p99j2bOixnUE8ysgwRoCEm3mLxdurItAk7EhS+rLsc1AaYFNFQ2IPCdM+KVAz
3a5jvYFetyyT2BaQZudIj3n9NVR4kWB+LM6+MAbnQlJivitSOPJGM+MAMDvDPvXwKjBseC7KjWGn
XDsRv3Es8u6+sYw+hnZikStTlW2fJl65V+GcmfWOtP34ZlZ8URF2KPk7f8r6uXRo0IH1BO9iE7Qd
mE3fK5cdNFn7ao5rr9+yoMK8kwEvPWZk0n2qa6GmZ/zAj27sznde7fI5JmASf2oOK970grhXqw3i
ljFf2YvDofhCW2MBN4A4H+a99DKpuH5qh6C5yKEfF0D4c+JG4K6QqmKgYAO4X9IBW1NQbbvRaRvc
I5Itu85r+UZSXcP0ZNoZyA4nn/170i3tu0h498QlTE8Mjr0pojj0HdZT5dTs/QAGoKtJF7RVeylE
F965A56Pc04I9ohttd2PTReeSy/D4p+m0zmFvbef07EiYefWgJ5Qx+4Nh6clL9JqGy4BiC9B/q6K
e/EUN7CrMrAptItlztWs/OaCKDkaj9qpWMP6uTg5w4R+UxbKYaFmuQOt05Xk7yzg5tTIQpOuujdK
dK2X1lwcexvqDjCSm7jDpzAqwt3YIPHTY2u6n9sExOHihI9WnyX3s62ZMcO5B8VDc9i7Fc/DgPBo
uBbWW2P6CHQB4oPR49y2ts/lbjGh0M9ohMfY76RG3V8sev9iZZytmGTCdkKy2tkQfGApDiBs5VXq
Fu6ENtmqBy7LbnFmTRTetYEh7I3oPe8HdYbOTToYoIK2zEIGV4c8p/Jn64le24cEdnwYbwzS8kSG
sMMV/XFx4Tu+dSNVAIYMp26btnAd+PkYzHGE9VS3SrBBsE96oS3WNmTauDowl9Hh2nVL9oKMD5fG
5V9EGXl8XumDNB7ZDCM7FPGNX1XjdTbK4SXtqlvqdpIzsYQs/JW7Rs4bzLJpxzFOSWX6deSjlP5w
bTMjwLggmWqpd3FPbYJJ3cRG2mZ51elkes4ki3IjJAYy5DCyhlY+5EqwJi1bLKqkSAQzA8/Qs0fb
jXfk42081YkdH5q+1/1GuTYlTHjkWzLNVseSf072hvxeK9d8DUc6J7FUjcpS0YIqfm3g2LlqlInZ
KKwfGh2c5UrryFduRxg082laWR7+TB+es/I9umY+TIZjfIK12nV0pG67WB/mQEAFWfkgSyv922GZ
H+k0TSIivUhuufss+hWZrZTacBUDjwV0BF8hpp2VQ0JNEyTotRV9XCklSJs4CWtKeHK3vjZXmAk3
hFuTtcJb1xfTEWRKiZFoDC75ikFBPMdCuqJRxApJ6VZcyrSCUxxP32ZdsBzKFaqSrniVZQWtAIXG
CEs3BNSvlcPCwvCtiSFALKV/0W2P9QtwC3IIcbNvmMuKdcm/AS8r6sVboS/Z0PwMVwxMvQJhsm80
zAqJqVdcDFfu7gjvJoPHC0wmX7EyWDup2faT9yaDqZEI4A7FiqGxQoU4KZv+Zcq76WiuuBoGZsmD
MUGMAWOjeq88sPxddrKfxNMorPjdLlyj2swxtDwvdyqs/YFlXimvmYqjXTnudd3RKsL2nBBMmxCV
Ik7knILYAINhGP69wqxyyLgfIIOCdJPcPngqPO3fUiEPXQcfI6SdYIXuhH/gdwDx2CuSh3dvesvm
gQrbZl3D6jkrXlu/rPZCjT3SoxXsq0FCndKk8ZHtzBd8h8YOlGK9baZa39Z0YF0vKErHyq6Cezy7
9c2wwoIGqEE+mxcTcY3hOlmhQv03X0h9s4bcFTsEnhACUbLCiMpvLlFhrYwionGaFQAmOleu5u0V
ZmSv2VkN2r1fdw5cYRoUYB+mwMnoqQ/s20ShzijjWbbm8MITV3dRpqb22rT7B28lJs0adpKdF3UU
SL7TquQxgK1kzqTuZpE6R8vq4804OMYVoaP8d3uAy0SEii6t1K70FskdeFO/cpxqf0U65SvdyVs5
T02qRgAxsJ9YAtOzgjXx3MXWuxGqLwpJklfwCXS6rPiowXF/1CtQis8U6OoVMjWuuCm9gqeS3qE2
OH+PIVIFFmgq3XBz1Suuys6W14WrZyRXlJXv9x9dBUdstFF9ISHsegH4Kon9cVPkILpo2cmP4zch
y1phWXrFZpWDtyJjQWnVMLXqRNYUToPZWi9oy4ZrA/StKe0hcQ2i0rfJiudq4XSpPH1aEFMCtA7c
YjZK4Qr18kWuI5d9dsetm8O1cFejgQ0ITDo9WYtvOBj1eB8WvDDD8poI+qb5nq4wMUzs/u+96B/U
KL5ieGNBn3W0RPtv5F2o0nSBks0rniykFfrcmqt6bndvTQLEDKz8icI9oiZp23LFBHUWJCN3+RV/
Zo/tlbsC0XJP/MhWRFrJM0+oAGyawOp4sHJQaq2ZH3p4b6cGypqz4tbECl4rIbCpFcUmVyibtFXz
iMOHUplvZlu84tuoYxt3rgf6fFnhbiCu0MngvcVw38QKgDM7177YKxSugg7XQYmzoMVVKzYuWwFy
7YqSw6XUXCvocn41wdESn7hU4c4pvqStgMR7DLjzbQanddB8oLePK7SOicV/IBmeICZM+Z580nzB
yBDf9bDuSHZETdkfspRi+oV4InkSHtEVkLeksxURq4Y/CT1vRqV8oAdZHQg+ojH4xGEeVKqoeYC8
B5mHv13SIB4D5TM68HxA8Z9lTraSYbMT9QWzZkIMJLwGkfDlZsmxs6jnTQ3zEk/DZa1uL1OcTP3A
Vq2t3vuS6h89zE8TQlAr5IUM4A3TGkxBj8wDBusZwyb3XUp6MD/kfMzdbyiha7P42Mw+rMJ6pRZ6
FUjYFM+ttfjU+hlFpe+svi7+Az//10g1nrCIAP/Pwsg1pYp/D/SJP37JX9KI85vLWM+9ihyOE1oC
eeL/B/q+y38tdA46ecF1oEz8JY9w2fzrigcxHU/R2jNne6z1nX+rBlg4cHb+FnBGwMcVSiTVw7dk
cQ39e36vi2VQ5snsXVervL3FPi5wUwrUftxWg9HKjodfx2raFJXdxLcNxlZ327sm7au0UbCOeCyb
zjSq04DLoSeaQQ7coUc+ZpWxVfbIU+h3+Dxvi9QB0LKv+rFypltpFlmKs8hCCN86g+HJZC8HKnzP
o9MNv4pkuofb5cdbYRn+1kk9f1+ChIeN3CVYB/TyaASaiC1OEXohu5AS0G7DIizXB4sjzDzXsyhd
Pq4mpigMqNlwLLtAdXdQYIrHvovDt6HUdspHsFOrh3LM22uPPqh41yzhK/UWTsMfsXh6NxPQZ57w
fRNWCbfF3ZouuhTUhr11pGoZXpvpPRsdVo2u9PeNWmDG9GlP0mm0sAk3dorDVzYGWDddlVc5Lefv
WMO7V2uwLYpBGkboJgx+lfNyG2BpxehXgHzm3+KbUXn2JXMz8xiSc97J3F7bWnBG8FYLkVDzOiXK
gBMW5wTvpg3qS1ht0EzYhZGZWTZYSccjVsvqTgk1PJODjq9I9EwHrf3lHm14ObER7XDpZygWBCKN
7EhaPfvkeXDv8wJA226k1eWSVnVwmPHzH4dmFmdUsvop1T7aS6Ag3Ws0M7yS5JudQFo3jov3woDn
A1yus+xL4yQrpR6dpCLoSr+QwAcs3WVkAKHWUlig3uEJWPQrx/PeprztWHIbbWhf7/Q7PvF2jx+d
GhCAuFcOee1fZmX5VyllvI/YreJbZXTNuTEShXCtjeUyK+3hE9jPoyOJUWOP++M/ZWE5Y3rDbQ4U
E6Wb1Tc2cAyduj/l7ZBM9amKh6lkCSHjLg/3Vm88cC8LJtopJgL8egfOQJi//rNK+1dWaZxgwf+6
SrvmYFa/iuVvcvMfv+jPMzUQv8HjJogc/rUp+/NEDcLfXFRojlk/9ANWZhx+fy3Rwt8EYWVhmqYN
YUWs3Pb/PmFRszkXXbZ832u5f2eJJlCu//GApczdRPEOsOBSQghQ5J8OWJtm4Z5CneQ0ClbdW/Lf
/v0kEs0zTmlg1vnhaTR/5sZEKKRznGkD8S4EUDnKY4/R9WB3ojuYkpDaH8vb/7FZwv3OZv8D3IIv
jW8JbyLT8tb4tvVPeKh5cBeXAIh35QMwby4hG6ULcQfOeg5JcoyC0Q7zosF8xdAvE7xgRjsO2wql
LP4M6vq/2DuT5biRbcv+SlnNcc3ROnxQkwhEH8GeFKUJjKRE9H2Pr38LzJtlEvNdZWWN3yTN0iQF
AgjA4eecvdfWbxv6lFW9KSeZyS/k8gVXU1gNLQt2gzospMdSb8g7n7dMYTTXS224NdcZ8qlG8yyn
1dw9lSd1DEFDeBX0FGfoyOwAfeNjOPUBPXMNOtVa2Wl15/o4yz1a8PhSCd9RR/Dq+gaIWbwZiRBj
dQ/Zp6vBNW9m3ekeVVFSF9cVAhRW8DRYdRScrxn8jTuoUmjGeoLV43WEw5r8yQTp9bb30ZgdMckg
2AcejqMt7kzrFkYicMBg2Oa1/wS9XNvV0VwfK5R2u64zm7dIhPW1yuzRc+LmpAfFsSyc5kHm0Xij
q3HayaZrT1Rn/XHUes2L5MyKm6rYuaosczrnQbjVYLIxvOr04k6z1Fdh0vXUqLoLb07S8Bn8TClX
orOHixYU2u3cJWqE6jE1myHqx3Mg53vRBel1PaEUH2eFercZHD3YuolmvdYNNbMiAGs1YnshU4nO
jHOHxLq8I+vNpPHmkuXUz5IegFnryYV5VmM+xgHitREIGNlP1YYJp7Gt6AE+TEKQ+ggl5jA6pU3Y
VZZvS9mGyZruVbdumF0vtBnkraZfbuSstBWdTuTgoiwODKCHNXWAc8tVr06IKek2QJA7BrCojgrt
8DHURRp4fi7SZ6hOzUMhmXhWg07PIuk05uxNNF+ZuTGezV7I74EMna3ltxXGVs6+Nvp2Tfuh3hgR
PmKaoD0mf2hD1apMyvAl4bZfmUY9rlvuNDbewXAHAGC4AgbUn2w24ZvUosttVWSUtxoJ2sYQmZxQ
a4LDympSNPFhBuQocUuDIva3A7OpaT1XlvNMm50KcEx5l7qoaG016C9GQGhTFk/Tj4V/fakAsnt4
ius9xQv9wZbR9VfexFDyIBzoB6N34tpDCTthFG8lIdu8gQ1CPe0Gv41RZRLnGs0Ypv+opbw0SOl/
O42vPdhjg9KM7OqWRnWtn1RpFzZ8a7ptvZwpODM9Dc9EtuSnMRy4elbnz2urX0QQfbhNJ8PGvOr6
1ls2WIMDyn+oH+ahzM8qVYrLN1fJhaAWH6Gy8teLSYenK3QraxWw3+ixmUOj8ZieD7cyF5G9k0nh
HJK2flThML/Kfh5JEm+sgwLHjv8PRr5X6lpB30oOX0HSuliBXGjduBHwr3hJVCdqzVsZx2fR1PJb
7kvVeXZVg18vdN3tr2gA0iTWGfOtMnRNkApQmmXniRoMCd7U94cicArbY0KJyCVG83Bto/XA+0im
3HWTWsOtU9P+g0Qe9mxJ8ya9BheHbhFzHAxUeL8aA1kdJVzJsPvKYTk4ZaGiiOv8NHtiI1RBRjXb
grGAYV7AWlVUhS3Bg5Tj4jpy4+JBsoVKPZx5licK/tzhHlU0JKbw2M92fRmMMLyJjCF5RMGZP7gQ
BJmSEqWVlXjiWJ5ZfO0mSd7igNoQEUeEgxZVhnPTRFOqPZMtQUjvWFXqzjAHN9pIGmv8KGXt1FtL
ZOoHbePqOGX68DVwEdL2DCzu9LaHVEdHEIe/hlemK8K9MOJerEj2sU6hItRCDiRS2GYxxytfd8Jb
Bk/Gl6LPojs5jQjYm7oJbizLKpma4HxJ1waooW8FqKRsZUFmtnf1wtClXZO8hKSqAfnVx/7SYp3B
Xq8PNs13fMj4dRnBAp1stcSz+4bDER3cv7O+K6S24bCtpNN8czTFIQIl5rPF2ryNJzM+1IkxbqoB
OT9rw3iIZeI/L4Yk/sNNxzrPQ57AKifMp0D+0C1JCTAODHQMdiXPemBjfJaTEUK/bfTqqMaBQWrP
wPvUAmj7+NmAbCHdpppA72Fykr0uN03ovMWmGLzBtVBqV6P5FOFTOMQUCzd4cnSOmr0ZVaO4EW2i
gkatPMc+S/9sp+dgcv23sYEoKQHSOra20CMyspPpAG/K0oqvJruQO4vCgX8wj8Y1zh9+U9gAw5VN
e35tGJ3hZSFK0w7pKWkEQvsGuqC6rSEEnywbZ/e6Qaf+1bJV/9abaXNKTFviDaWpvexLXlMtKd64
S21ylCYZsXTEsnc3U+iH56bAYUsUgFmfTLcaGfmYoTTXejNLa9NN2mR5Q1YrczvRdC3Q6HbiyYnb
NmewVCWvVitxTtFkNxeFR0D2Cr0TmFVt2mZI3EM5UEu76QyeJeq1dQe4/mvUhMkTWzh+rvBFs+L+
WgPCdDcJ5z4ZfXsXx1lA/WXVcgYqH5qXJhrwxyw1+LWf5NaBLVbxbSr8dtt2WuYVreD3IjOCvF7N
jPNvpl1lfGbUfzfI9tqgsLKWl2idXdyq0c8NyxlPUTPNqF96o1+x78IRnrotagApjeQFZePXRkNQ
b0+6aa2JKSmPMW3mxdPlamisSL8J4Z/4sN21osLLF4r2CoPqdGs5enQ/pr0wsQ3qiKjALmhgQZu7
QJGHxabIvoR2gT+i4BE7R0gp8VwyfFqCbCKTyIMMzwTOgN7zmQ+8DfFYvbqqKhk8zpo6SgvbORtM
26gJxyoU8o+5tVb1UM8HN3YW60zROec2E7O1wmXbASfQZvJaJLSYc6XPNvYJ1pF4XeeWA3FWxfUX
I5aTdtubVmbtOl768CcLtNTIzi1iz4rUOfZxzZuA2Mq82icV19MbBz/0ebVa7L+K1HTvR1AUXlFJ
reH+mpyTWyPwX4XKLHcuca/xpQ6nZGSUILOrGBU2lh9VMS8Z5LcK8fWucAKq6SRKtDd4C9rRhamX
76qmRhmpMW7CqKXPvDIqSccuQvN+AzgzzI7g+NQ1ISPlu8qFxXBCBOJQunEq1jnBAcziOiIdxo5Q
g/bkuJOBAvB/yrr/p7JO0Tz/XaPsXHQQhV5+FUfgul7+1Z91nfsvGlxAfBAFf4gg+KM/pcQWQge5
KB1ckvEMV+eP/qzszH9RyRikCroIjbFx/wS/4gMV5SbiY0NR+Kl/1DszP1V2us4DjsYCqTOVokR3
+mvrLJrqocNYVB9sblzXi2NNvxM4zYHaM4oqqtht4a+B9Ws06T/A+K3xcuY+s5jIPza8/9EYw7Us
BDmXTPSwEfY6MZsu+/UHl5GCJ0PwK5tCkAGshzEBLTkQ2HiBpEJWSp8sAyFamZF5zL3uI1a0UD4Q
HoNdt0L2qAeiHnYtLsI965Bz3+Xd+DeQ2E/NQ66AZVE62lwGril6lV+vAHipmkIVSCRbTbQLpJrs
2LMoPGrtcl58759ukZs/StP/he/wpojytvk//3vhZP9UsH4cj3YlcwWapJhNPhWshoaQN0iS8jBo
oEHHIH1dNIoLtPffyqb/WBxzk3w+kjQNhLqQH2ktmJ/ObEbkNfN2TxGDU/sZLN/sJG1y2QEB3vdG
ai3zSf/uH5+eRHNDv4CbCW7Ycvo/MV9B8TRDxu6TsSbr4UrrAOY0iNhtrxttxsn//GiIj+g2Q0Z3
mPv/erRAuUOUZ3F60MVgJ5e8zubt6CDuvu5S9fD7Yy3qqM/XEzERB5EmEXw4A3492JgEaZglIjpU
4ZgiiA2p5b2qygrPRYywChm/XHeU8+cB2uZ+TqFRbEjDav7xOdtCANOFi00TnkXl16+R6o2cso4d
Y9Ul4H150ZOqG5BPrpwSaczvT/qv95At9GU37JL2Rvjfp85PTaFswsogvVef59vCrRu0TDzBZVgm
4WFqIsStMmcg+jfH/etTYqMo03UKZYeWmPi0LiVBPESBU8aHfKiIxe35NQezWyLFI5B4vz/HT8dC
z8Pnq6WPxs+ri8W38fMta6Fk0vtQRYeIet7Dq4eRvRT1dAqI3Hn8/bGWz/rp6f84lg0U2bLgIlu2
/unHi7OWGoW922Ge5kH3EDBkxzQye937/XE+OUT+OA7DFbUA47ldjV/PCYhQU+OfjACAEurHboZ6
YmVN+Pf83rTvwyjCAznWLUP4mQYS6Uzg8C6//w6f7p3lO6CwZ6HTHZwy4vO9Q3GWRMt89+D3qEow
KFf0G2ZiXH1zyo5F4FLOOub0N+v5xyX8dIkNliDHMV2mQcL99HPC6WN354NuCV3f/FLHTnZEoDhd
lYwZdrVZYgJsEc+BRJ7GQK79oZv6A2CG8TsGlIr4ArwiR4LU/H2wjIT8yOc/c6z9gRP9j6vzf/c9
Fy4mI48lCFh8nloltoljVmraXpjSeWUyatXrvkops4C2DA7zDkow4rw1KdmFD8lF9Ma0JLv6/qFL
CuukWuUfxsg1r5TmNHLr9GERk6CpZL/7/S/517vWFVxNRnY2O5K/DNiEIg0FdlJ0yJRAgJMELtbW
vGnaze+P89cnEWUBPxlViMt/P78bI83gooDnw7oF8VxFC1QZ2IN9YgRj3//+WJ+Xc25PV0hJ/3jh
Irtq6eD//NhPbgNSYIxZzklu8gLX7z0k3N0aqnOCon5BjI/DdNK7UX7VsjzYUdK0f3NhdWEvT+Kv
t6trMr0kqYNNAV/n01slrUvN4Mnw97Ib6ukgP6B0rRrN8hB05XzLFE+82gssPooQqaDVConqjaKk
dldkv9gnQpD8I2iN6QYhO7h0HI1kp1dp20Uo3jLQZmGDRQuy9t2cmv57P3bpkzul8wWHFiFCqqqd
RW8PlAIhw6kHwVau0MgbdyQuOfdOWIp9q7v6OcyhrXuijLQHGDXzLUQFs4PfE/bXWS3alxTX6SsS
Rv/CzJUiGbKA/565ml0e86zCdZDj4drPDSgBWqUhIAhTIqbDnpFYuKorw3oJla+/sbkyHwcsXNiP
AWNoa7ge1nvat9bgZe0IJqTBgX8JTJ5sy2Zp0es+eu1CFu+iCex3Osuusc4zto2UY8IN1kOkAhhw
oWPtBkuwGcrl2Hx3ZWdscuAJX110Te4dxhDuN57+INkmheLw2Me1W9doWDtF08mvMzlYOJhVcJHL
v20odC8BwlhrU0UDWGzJdO9BFeZ04T2TPqFHHK4/Lq/vkE5h5KG4Lc0KFkExyxRihx445tEQWXhJ
ApV1m4qEDjrNH6tVp0+nGkqSXLv6qH1Dt8UdSTonYJM01ec9umCu3WS7JHrVQoQP1hhZXzrSmTRC
KUV+YyYw7HBi8DkDwtaL05ZYZCsZvdZCDfnKR90X7BQka4R4Ni+FODDNRzfva2OFiCc7ZkQ3vKZB
ZqCnKawX2kxo9HhoQN/7UTbf2gONrnWb1OON6KvxOpoYSnrS0qNvqdOyNBHA+qRPwko35nIfZkPh
H90Op856Ct028mYIJAxMMjKoCVXjXpJZO1+CYYLv51N6TasW7/UtTCIGR3PGPqcLG4wkMSdAFzge
AF433GAbAUT7JRwCAsZHl7uXgKwRsQw+xD2Cl/EKw7j24OCS4ncMrOmCoz8+Jm66UTONOmb94zX6
w2rbxnT7g2EuNhWhwGtM+TWA7DA6CLfOTwxPlujJNILU1IiLbubzsauEs8dA6j8ErdwUFv3BysmT
CzxghC6+La+zWe4S1MjrijzBnYhi86vr8tiVuJMFmB3GQGSDCW2caToaxlpngL9VY5GtrRrM5Zqr
ajypqL+OAB0cY11twxALGybE4si8jmmLRgAXWWsQCTNOK03ceg03L/WmHjKAsYR/ohT8WjNzugRZ
dA31y10xER+9fnItOiQGGXVV9Oj4TraZmtI4pXZKxGNir8s2H3aJQtuXzITBhLNwmH8j3IxUeIca
/lWVxkvZaQ2EyYyAMwenl0HP6aAJ97mimY8m0Swh/Ywub7WuNL5lpnWcTVcH8hddhU40QMV0Hvre
PxW5DJ5bVBGb0JrGY5hmLMDWskeCHXjlRKa5KOmqWx0A/VHroYXMs3MG1DW5pDRnsWwUMMkKrvIP
3HzlftILGAi53/tAtgIzPuqFVegrXwvkubNTvlCRWibz8MmYH6GumNtxSH0Il72hTvjyqms2Slbo
DSRUeAk4kEeCDYJHWpbD/VTY7B+KpoQGQFzadEkkJno/Q+BhJa37He1oTZgd1n2axRkHZRd9qQNx
59rDAEMaRK45d91mef/gQIOVFK6jsspumpamoORJSw+MLNkKGEnhr+uJvUgCgYqYY6dZO0JGLEXw
agPL540gAyX3ZUzpgwohAXIz5Vs1C3pdQ09Lty6N7LoR7ZNM58rTGbRdWdXswiJICzf2WtIP4i0z
Tbxv8DW3eZzYN6Ibm60ju+BLGwfDyeyAWkT+cIyHThD5AtvjmxmPjU/emdFE65518pCrOjxivALT
YAwuYvY+48aM2TtQIqTabTrVcpNN9XNe4AETGQZJAnPd99YasS86uW48QFqVX8ZhVvNO2BEYnw6Q
iF907MfysdqXgFCuRq1ybuuUSZVZFCXp15XcU0ErImoge8Cs6uofpeG6mxJQG9ktJpJvS1yUXw8w
KpV+po+cs4XJ5a6TqbpN/QolGoxik+I/Di3aFMj3NZL5oBtA8eNHVfcQWlBAhj5G2FzrrbcRjN+t
BM92ABPSwKeuDM91uAWwOJZwWwN7N0gt3Tp4nzZMMiwSQpviJmgxVWS+Hh/8uDKW+I3IM7N+XfW+
vuuh+iFjyS8O7YO1nynjBuwdnopKmmcVBJity5nkIrvSvcwdil0q0Eimc+O+AJTI1yw01bpvGPKt
XZTJ0Srx7QXqkBspmT6MhoLGD55yMZpXncBnIWafbT+Jvc6qJK2AVGdgSJAJ4j7dpUkuv9rEYz5w
asEJA50Lb9m30sOkqelHSzl+bs2hQ98EhntlloqROvNs3unA5eqlM2lfUbEvIZAoZfxeL46pPpFh
0LflZYiz9KZ07PbabcZxb1YgLNaRAreBTeMwuLm2Qmjgnopq9C9xh2THCvrsdQn8czYJotsvFtbu
rePEybuyswjZt2Qkq3U5vaQ4rZ9kU37L+OhNXRWMD5Q9GwwRUNe+CEYSA4tAox2CcomZdHVU5hUx
qZ5F7O9J9ydSRQum8XYXbZLMeBs0hSy/K6E+oo8gFzgIpgvju+JV6nlPYkjMtEPxDqQBO+8myNHo
Z5P2Rhd98xrXCWs2gQUIJ31VJ0G77i1ZJfZjK7pcNm+Yo8B2Cgse7XsIAXfdRg3YnMBqc8qkVnuv
nDC/jHZpQOe1u0ct8PtX0Jfu16BTECRySKqpN4rZpfFtY8aHpElHJN9rDohn5q0q2AAWJd8Jo6NI
MlDR7gKDjqtlcrkQotlFIXhAaongGHS0aVQ+fvV0NPlW7bi38lhcrAHeHIHovDMYZU3ZOiU+yGF3
iR4a+B1p8jrs6aNeZ2XngQguWM6mObhHm2yQbmgbWODVuEjE6Q5xX9KVB3I1aw9gMsVWJQW/Gy+F
nSnK9ljOUfdWUhst0xE4IlrGVajd6JtvLLcyHSVxCck3yxH11ePeEab/NGEke9GMUns3kH6cfXcK
Hux8hhRV8LGjNapH0sgxd3UwvP2F5s0IQ62ZwD+yMSaP0XcEntvqzjGf4IOAFlhw4D5ccK3LnoQN
KFy42p0E6QOxLp/XyBG3SLScVb3AxXElo+tnc4JeG7uFnoMWc6mx8UMia8dt9ZqkRpivNerkVbew
yydSQJCqGdsOpHk7m2pHLW+tK4YG2wTGxIJMOhpNZq910lhB7ywhvSpY46jTCGLldhbxiD/BBiw/
6+AI+OCw6NydMcHszxbGOtjf8b5yDAAwnRtcyK1910rGDNUMZtzpe+MY0djdgFAi8bWe0r0StAeM
sceaX9aohkEHviYt7mRqfN46bISOVldYm0ZF1TYbWszv7RifE33cJQSLr0hsx+82jQ4yvvF6QJYE
EXx09nZNwIzIegihFRlaHbRWg63gzag3zGjTGFVc2/xoETZvSq2Yd7oTMQWv1DfYRdm2nsDctyW9
AwIODvHQ3EKkeIkcC3AihFzRqat8AeRr1dchm687UnzwpT6SpHZhyaVhtED1nXp+j6vgSVfqDh30
rmQ3vYYr+KJEhIowoUkpW/Wq2wDT5npR+Wm6/YgxkhzqwngdF7B/Sjqh54YGsZl16ykDwk5XokCQ
A8Zq5y1bQgKMj7wAW6MiCAaCBGZzfhtJF3DiDtEJoNkB6tsUfBGI9HD71W5yRL/T49yCI7ykFOjz
pq+iZ/AzzR575tmuHgXMboRBldqExBvIJedADiohg6nvnjWjdjfjgNCqp4Y5w57X9qgKlsd8EkeU
1fLZaUiyibLKcYG5kuUUVQ7t0SFeygmyQMddgZN8I9AoLEEx5O+2va3VW8C1d7bhQMZ0mJ4dtTKl
oQPTqHHFzuiNwTwx/W6aeFUhOLhJDYwZ8CKqhLBwms5EBOHJaw8BlgPF+B0q4oquphW3KxGnKPQb
VJarhP3QXpqdJBQaX3wEwaeIq5WmaJo6zUDJmSjCpjo8RG6Q+O+N7/AAclRGDDYaCCTiLoUUJoiC
sijgtu+8guWFPtMy05iKzv9K2qu28bWKGqMw7FOMf+aq4h335Fb+dNEsqHBGJLG6TJUjrmLNJsC4
XdJjsk6yLA1NbK5zfalO9Gjsf8QzSYGxM+lnoSfQ7oOaQK+E4J4g02hyB5bU7/TGbjdQ66hEmMCK
16IYHPvShv1S8qqWPOHQLpsvAIXZOqSaI3alTjYVe3s+WnNybRMWFOiMZ5HYSV1SXzEh/uakmeFF
Ndu/lRWWN3Y9rxPwEYe8ZNw588o/GEnDi5RoBwhgNk0B1MEXt5P0CJZJzcfx+tLSNhPKkYPvwPCj
ToBEQrbR88dfUSDB74RD2f+RHIhHd95jXQGXl7XUYGNt0CVwzeF6IPHe0yg2mfXMuXOvEi4mgmF7
JcK22n40issUfqsxFq7XJfSN0wxy4SqK8DBpiq+YhUNydOY23zkZftAiajmBKOYTWUdmVHkdwWpR
qj9nMLPZ2idEPQKWqw81NMObZGS/O2shUUxJR9JjOU3tehScl5XRCy9tyr6qD0uiiqa42rFVo7bv
IMfWXp/4Q7KKZroiNC9ZDDqd6kSgBS+s3q4OiS+yjPtfzNpZFUH5QvMv2okkpqPozidV1w2Aj1SR
g8a7AyBUHkAVbJNhsM4pYYFXNoIQeM4zE7LZpnnlzwmEUu47jaywbR/zC5hzS65mnc4AWhsoDz0G
L75fCORGY3hMU4Qy6zbtlmuSdkzZdP6X32oEuEsGlUOTcm3p5Xwxcj3fFUsrrukIIpMTXjcIKS7R
F9G8dSzugNYiEmSl+uUDU8DngaE0fNA9+DpipLxWlq435lI8Z4J/ggKhPsh8+dOi5WrpWKEBfZly
uvR8EMn0tbK9atDEc6jbVuwlbYIrreG+J6KDTEJJn9X7aDzpsHTeZx1jWx/Haoe7mgkjPr4XWom5
6fE67x9bAx220gf/2Id+8eKHGIIntG7knoc8wpbZMZscWv/oQ1R/SWSDKKwaNXM1NX0qUA2kvn5H
ccAZQmSl/eVDdGUHjHYB7HhknKlb6i8kzfIXMpEmx67gMvVNYdwN0OzZafHFjSYJv2dzVr5UbsSh
x67pj2k7+YeWlmu26lyteZknyBqCjlxb8e9UHSUnFt/Xzm6gfOsRpUdbvuXCVbB0sKw1fe0fRcuv
04Jw/VKNPIF+Nyk6FjmBG3XfboLCmS4mLfBLmRFQVw9oWdezM+unNDD065wQoaOdmnzzlsrH9nKW
w50wbZofjEVdKIHcBQOWh7Nd2rQUcGtgfnQR90F47LhL5CxeAxETSOi4WoFGpFT46Wrb9wqqUxSA
rI9AjfNd4ATaA3Hf/rskbhyeebvcg7WYuPOILDgiMsPb7hJ8u9fkEiTqSso+vEr9D9ehToZsrI/P
TRGN38beXZLJ2JDXtFIhhIZsK3gzEl151ps+vwqHtnuIxOB+L3vLf4+gPB57O4SiFgy8maxogPpt
ywmAE6ybQ68q/2vsLBmGMO5r35NAlXsvLaM/Ayv/J+HrbxK+mNJYdL//syPo8hLlP34Rr//xL/4t
cnDw8xB/bTmmwXyA+4/5wb9FDlL/F9psxjGkbJHhu5DU/vQDyX9ZtkujH7InrwxDIH/4t3rdQv5g
L/4ixsiKgQDyh3+AS/s8VGCaQMHM5zCLQr3ufJoHTcoEcDYtCgIfJdfGni7gSn66Gjd/dOt/M9Nn
lofIw7ZBZy6Tb5QUv44SGCEtm0M174mRB3HoLg5Qcu64pP/3mv9/HGU50Z9G6/CXRnCKHEXm3xrt
WzH+aO1/Jk74y4l8Gk8CS7co3TlEN99KcQtwuZpff38Wy0f8PO8g5U0JaTuIWIikND6Prx3kpQQp
uPWesJJq1WsUNVFZ3GZZtbNDeqK/P9pffvyPoym4Hy4EEufzbJfcjRFkpQQsUATsTRgPrKJMjps0
KFPvnx8KlQX4X9tAfv55kCMapxx5mXFioGQfxtiqwJX2+kW00MJ+f6jPk9XlGup0g9meEE8k1aef
SU9sMaUmh8rrvDsnaZvsnToGOTnOUJ+DMdtBC5r+6b3BQTFg6yZKJnwYnw9qRz42tgIP2pRwFQ1a
MCunpnnhAw/9m/P7PL1ezs8wmFwvKgfHcj7NxBJTK+ey1PCaT6Hpr1JfIx+2cuNDYiDZT9O6uikn
nQC8dA4vXTqOf3P85Xn9fI9CplmmyO6yNH16nqfAKkORBMDrM+LQYfYvBrDh8fc/4nISnw9iGtyY
i5yDSaTx6+M86kU7tcqo921b6Ts5hEvUljT9q9QQ836eYLD1HYSvokas//tD/3f3jwm8EoUZa5a+
LP4/ryTKtkY9MMx6j9B2ovViw5uKtQlgpCbSCq4y+/gpxBT++8Pq+JL+ctLI2S1O1uCloOuf9WZN
qpVx0Fc1Gax5/Vag/BhIul7y5QZWHdtP0juMgWyc0o7deSO67QgIdgPmTd9NYz/sorKun4wQbzoA
7Cb26lbeGnbW2x5l6HBW0MlpDNTCM9uxJ4zM9++Rv1J4yYwMtWnpostYxqfG6ZmsFfQJ3ZIUE7fZ
pIXe7zuwxrgSQkERikA20WR4SctyWiUVxAcnqgt6CR2VgEjliQQXh9EwSL5VaE/hBRiPw9YtxUQh
mImEmt2f2iDruFHHNvVwu3TnTmXzI+m4qUfuK3lLsnpzyC1FZkAyhqtVvdcAXd9ZRnMGxd4+jvlk
3Q4YUXca7epNYdYxFQ7ctrTTrW2TsIbKsdThoifZJjatEWTz2N+ZsuVD2Aue5QyDAkSIMTHqaHTC
I7AlFvQFiSzqwls/7oc31WbTbT+bHW0eoMlrSZbKDgAAKQeO/xyWiLg8Ip7nR3QJtukNs/6jrkew
FEzQ23ci2EbI1nHaPikjckMUWK112+NpWcvlAiPgupDtR3OekWwJpcx2cAT4LWwdWpzYAJBD+yC+
wFs2ekK3tpWIj2PtKg6sH22DIHmY2u57PI+P1mz8UCBDv44GnDur06LnNgH9KCZmPqs65EHKB+vH
UgyrVThU8z6uWDFi5vojHYO5feoEn5eNfA8wQckxU3bzFC23fkpg2Clzu5DN+OCDzajxRSFGho1n
xIcgJ0FE1WW9xVBB4IlBaMCKF06wVlBENi4oG2rw1A2ONvO6PX0UDmDMzrqqYmjkmZvsSRvq70ly
7+5bPP+0mVTDjeFG9m0aIO0WqZ8cUbRYOF+KbtMjGrl2SaOB3mLqRBcwxvFALMmrdiB17RAzoSUf
GyspZOIIMFJXUwjhhAmYy0fiPs67ZFwtzv9r0tHjXRgEYqdbtf8KMwUfxmho/pVBKKS/TkKm2YvN
gdQuevzXpGwbJERNzhrsq3Wcyro6V8Cb7mBF9AdHlc6Nr5naDlW+eSP1LDgPlv0E24HSCNvEEpjV
Cwav9B4PVQ2tvetGQH14pf3XFvEBFq4BrIIJxGNXMAl+t+LEfaez3a4brRlONTSh1xCQ1iboKsIp
CY4VGw06CaMgtVwPHzCip8/j95Qxbbxu+jHdhAEyBb3Rpz2kEWPJ9bAeaBvA65lcqFamZus7V+b1
zsYT9Owafo8Lxw5vRVaJfQ+xz/GsbqSil1HPjIYBx5tOTs2xyrrsqjPH4aU2zfySd4G6xqdjPlD/
M07Gy6Rtxgrm12AE040JgmWLX8W9iaM6f5lCe7itp2m8GeOwvRqbyjnrI5U0nFD7lJQ0YPQKaj+M
O+e+xEHitejC9hTXLih/YXCAChAscc+G397WM0yi1Sz8RK5yUhE8pD8Fdr9BvFuR02arMC3C+woX
OJwfp9nrPYtQomXNjlsD3YKj7G05lYRfFUOQeSTiNeR2hfggBCD+dHCwq4RFFT7MFHuw1ntMDjw0
oePFChM7aoKZEIU+eDAIfj5OyVSdGBtCdrB9kB6xkwuSqbJYHVyKhS12AQcxQKAOdqNoj9BGAAe4
2A7DJIJ06pjcEwwI6HApEO1iquvDHw2lEPrPFvW9tgHy7+N/E6la96Rc4+Ir2OAYNEhucjYBr0PV
tixjfXKbwmrchbGY1i2rwLcoUvOm6KXctziBfuB6n7cGgrPTR7tkKCJgQC76qpcmKfRX3GloDVLK
9vdGIY6ZmhHdhk7Cx8dfN3LHBtFLWwTB2BKZZ8ulAYaYmdDElsiQhEqUe3jm6oKrt2CAMZRdDsnY
n6YqDdh+DU6Lst1Ml5560jZf5EhUJGUvf9WqTW1Dct50+ejkgX0y7hgIUfVaYfHUR1m2a1WX72jG
+Zto1gXv6gX1WTHBEONS5xfdC2bg9kA4kZvggIptz/UTsbzeExbPur9SzJtoVIWgOmtdRRcQU/1F
19pArRiUj/uCsR5sf/qQB3w3oCbpOmfHuNFpA8jCgbXPeGzet3nJFxbw3vcqokuoY9V7/hBpRNbS
lP1QctulS3Q6MWJoC0tSQ4mIo70zzjDc9JpeFsYH7aGMHNSc2shP75owEApJB7RLzfD7RzMoWRpV
We3YJx9YL/2JBgVzFeDlqdhv7ihE64MJ+e1pUHgc87yiBUkk/Ma26v9i7zyWI0e2bPsrz3qOawAc
ctCT0BHUmskJjMlkQjscWnx9L2TVfZ0ZjCatetyDe82qrEgQgMPFOXuvTaJ4Q1GRwE5Kx/NiR4AW
LtSEMmrvUOgVBlWTwqcTG1FOvhbVaL0aOeE+UjHAMdOkh4kRTeSIBSPV0uV7whq+R/JRk6IFI4WB
FF6D8AqvmqT172RCB9ex0I3HlZJbrxLOc8NZtFnAHgzOs16yFf9V9AGkNlyTvD7dTJrevXcy0B5y
VwUUb0H6rzzN+fs9pQQN/xx1/tjBEpCLLGVcUgrV7kMwmteYwGgqEoa01mxy2WRbwy4sumGj4ax9
Eu1oPZGiYz0RczNeslI5m6iMtNUYx9qKsiLtgyAoLqZQq24LgAhr2Cr5WkvFcPnrqTc2opyCTLAr
Emo3uiSyza/q5MyukE+UBXAE2WLTKxiIm8Eu9DOX9ulazkS4fGzEWpW5QaVYt/iIQQoeWkpoV4Fn
hHvUPnRcf43lyTMQ+GkW6Q6UGs4mLx4u3VoGazqY4dKw8PQtKPmkV3pJHpJDU+nZD7BmNgGq2oUX
sxjiAOL1T3gViCuYIM1Q+w57X+SgJCjn2ZMxVyRRO6XjcMmkMO5NFcgrt5qmVVzYpLwhdhkfCamy
bUIlIVRP0E+pt6dQ/6BIE+bpJlcijfA3CereFllDZ2iOcEO7PS2FSg1XpVuzdLsRLngXhBl6/il3
0xX0jjllz4j8NWtTt4elhd+I3EF6300mjaV0ZXHfIkLdtEw47IHoBZ9h9m+uSjoGdDycDkMEtVtw
kOpQIh/boPTXRkJ0pXZPWhXFNbyH7JgtARmxowFA+AWfZmOrOUdklmV7XUmzT3UUIA2ZPep0Wda5
oigt/Nj4/ksHZeVoW6y+17+P5KkSyxUXYqFZs1wQwcg6RhhOgxupX5W67sHprXHtNWMF09qkSirG
Do1c7jv4oJoOEd9C1mK60YkKjnCqZZSNA/7h3tLKsFn4FHXP20YDvsx/ep0IvGuLYiqDXW0k1jbW
xbTHhOYQ3RJv5zu6csEZLal7RpewJGF3tXF+Zw5ptUa2IteTijQQaEVDQI89mi+jHL2EtaG8A6WL
TjaNtTOa5dctvv5FgQsan5v27hGktzEs+SxauuBZMgbn3Ea6ykhwYEMX1tXG86p+TS6ouSVnraO4
HzRn6P4qlKGl7q7ZIUb0qG149uBAiRku4Cg6+ZsrtTfK/VcDQJSNOfT5vG8r93gECVSa4nsiuqYl
kUXhjtlqy4PolmjR5SpEwkML3HvWSDvCRY2qBU5dGay8fmb3C3qNutcgr7FhRGWu4n7xo1rsqkyy
p4Et0/sILpQkrzPtQrkmchVRdwGgDTpKEr2EbWfvUkAy02Jsh249eFNxp7DETHhT9RIdnRmdRYmj
rqVM1bMWpnLBqp7jEFT04TsXcaiBQm6VeSrdt904HczYJzc8i9qdFoEcWBHPaF1bXjVdJ6FT3Sn4
02vEP+S8Yg+HqjY5znpwK9IEqgi6lT8lm65MqcbpWXyAPzDSW2vK73415WcGmHZaOpntV6u+CEVP
d5g4vPSslt/Z3hvfBo7jF0TJNfqyMu3ipisT6Dhm0fbXwTQW+2akwZRokL4aDzWUmec68jjMt3gV
K97iCg/mdyuyyn7ZgZi/sowmuZF2U2xa3FDfnIr91QJMnHk5en7zDWyBe0hxKj8Fo0vqfUkgwqM+
r5COkSu6XV60G6Rsz6LYA3aZ180TDnt7NzRlf8jssDvrtTF9a6yZdxUROgXXpgmuO1flP/IamH/n
GNYrfdQCey10hIMB2+UcsifVFaxC9DnIVuOsWwOYIcrHehASDifSHlJFSZCMLgttfE8713s2C1ei
55m8ZRhmE3lpWbJMOth67PEmlsIoR6zRagNopLFiJkuyhOTZLlsox9V5vay2h5FTBQpyMYHc8VZh
raYVdtJ7EKbPg2woaDHLL6jZeivp07JODfVUiYRoa4eWDoIRt8TWzs54W/hOfl+keXHeTJm5ryrE
G+znc6RRuHRT5bXaTtS9lu84Ljna+9hkiMV6mOpG63iPxHpLwinQM3CK6RcmEYoPNEKacxbF7Jqt
YvI6GKJ4SMq0fFatGtyt0nCzLohMilNIA4BoF2nKlsbSGnljCYOwrV/tibRysMS2VZ8coOa9h71H
+57K7vnge/JMsLN9k4oIwZGUjJWjpZdTMccc14IY2wa14ZKGcHGedsQ0opxWDenBXniZsBlaJFaW
1GvPs0u0fg7S1ApiPN//D8jsGK5Z03xYkibIdSK+D35Rt9cpPqqVha/ocahq8jBH8EiGzIObWoni
O2WwFyup+xcEkXdTi5Rz49JyWWl0W7ZJOTGzK00s+dSyO4BdIEuQhla3tp7V+TJwUPBFrb6ZOvLV
UTJauL8LaxuBoTo3U4f+Slq10Idyn7NpYobf6T7VyCWIDraFBnIjHNx7jjqsJ4iTX4Lc1Vcq9J+s
werPdGWYW34LCYlD2dxZsfXDzTwiNClqYWgLuk2XonvjuY3Jhe9P/barXJ4YNHjC3ZMZ7ujzUETg
PrldZN3HXQE/o435YCsSj3vJnmqMHH9ja/a2gWl8zRnkkQk5vSIb2zmUqEsXTd84a5XJ4LXw02mZ
0ROjTCiSS2cI0PDYGqcYs2J3CyWmJE6xl7cSTgY7XI16c97sG2/Mb4JYc67dUg/hnjjmpRF14qcR
kg9QJAASq5agt4DYiitpD9F5BvP2zlKoGhExTySTfEskkIyIHNOc6XbdqTmvrRn0myBoHfIWMBQU
TVpsR5zrdw0z7qIdsMb7fqdvq6y9D1tYqoOrOwcRFuO26auXyJfuLgkjViw2ggcmUg3opt+ds5Vz
D6QahZd1WKbsfwv5syWCkpC2Rn0X6P6/1V7TIgAKEZl/L/Qk0c8M1QZnXh8QE6sht7UIF7wngnIY
l5pv2v5lnFUhWU+yLIeFAKxqb0pJGXnpRRXKmrHK7mUO2C+3R4jZ8WzkoYR1jwL6fRjQF+sQqpCi
iOqgT/2ba3NqsDMzX7Kp4pBUIiaaDDrnEHaNOaNkp6FJO/D92wQjOI85YrqlFRCOwq4wW1HueKvN
GBGHPoJ6Tlhfx74nDtV5dTmCDMl0blf6DXso4h5dykRa6xlvlp/1Z1Zhi7VTijl4kJyRMDB2HeFm
PyNH2NeQ3sybevB/lqT2PoZ8eg+m6VbRyq6LktZ4NQSr2jPchSbtYqv7Qwt0pZQrgG7dwsOP8IVH
6WMV1KTrpLNAU+LGAk/r6/f6q6h9p3Bj6q9umWQHI+8eiGcgWNThdOu7FPI/r7ueaoJgFMZbQyoR
PuOjSnNYlbqBHojL1Y19X5rllhMAsAnCXL5ot3ww1cyVe6hTpsU2nI6LflxZnqa/i9rO1PZv9a8i
/Ri0P8iNgItaZwZ+CfQujjfpr+SMc6Lsqcd9frunqvfC9xzXsQQe1A/dA1c0RC7rFbr80Lqx4YFc
qJA66edXOfVQeYVzDVun8XnsrrXwpLRWTg/mVzukI9EZdTGRmYaVqC/e36kbshAOeJagNIdJ8c/h
kg6thOMEereHobxCO/fieMXL57fz1TWOWkqxDWCOr7XaIaK+mJxqa3n5V463+eUfdzwYfwCQGIq2
+2Fw+InXV2ZT7RQL2EXY6ubBhMW4nLo+fo40Wi1IlPQ5fgJKjUDth4Hvq9bOx0+PCACbOirfn8/5
5ai1Y5GsKLTCJwDJIJKlgay0JN6iPM+0BOWP8uXqnz5Xrud6vs9kihf7+Nsr2Vt5I6afXS4HZiln
vAGO5H4xn3wci4IeOnA46jsmQtmjD9wPjWaq0qzcERwCuErBXMVTcO4mFDQ/v50TV+ImPNsF9IGv
yT0aJn4dQ0IfvWLH1IZqSavPxOjeqyp5/Pw6J16T4Vom6XqgRueO0Z9D3lF5KvzKLXZTrK+r7FXz
siVE51lwdfj8Sh8Jch64ut8uddRs5KDqzM4NrEKdT/VOWuEi790Ge6zfYcnq5PQwQtregu4LqlVp
UeLTYW9+A/WManAym3VCC2hr1pylc4Ivc6rHCL5sL1FQ2AaE5n00XQQZm0GrlAKxKCVjNlfNOjOb
hJzoLhsu+6KljDXi211y1gbYBBn7ixuFqnr8+dHKpLiv8wEYeFeO5mZiizThy5ZnWkfNk59L/dIg
QXR0nPg1n1oiVjJA0wiqvlV43cnnJbU2HZy9gy8otmnPGKWCZN0+5AG7o8aJkPnnt6r3LqaA02Ve
pKDvEYkvypgEtKBKBDrMHpJ/1RFopSVauxyswtrR4OpXTYNHj+skK87x7nlqoWVIyKhfAlqOVn7Y
LwkFHVYWE4zP0zJB4PhTrX93Z2HX5yPgxFgz8fOj4GDNYt0/GmtB3pW0YUeeS0KgV2f4Ys9bH8j5
JpQeC6Lod59f8GPnVwgsypaNgweCx3HnF09C1/UqL3b+DCin6JKvS+Aw545QzTbwwuYc7L1+D70t
/It5/D+ajk98vrS19ZkWiWblg/iiCsdOi1pH4h4cx+fO6Y2XkqLvPUb15P0f3yRdXmYjDjz877iH
TnOETefYyl3eVZRGMXRU1GyIz8JqUu2dOo29ZU2XDbqrSeXu84ufuE/2VSQk6r8IxcfWczcNYSMU
Uu7qAIx+2cv7cPZ6e8lY/eNtgDVPUgYGXngM9jE+hINgHWIczXZYjp7GUfYr0yOrocqE+MfDlO0G
gimEUcgwPvjFFRTFNuzajOZi268mh+qLSK763nY2nD5//NMHaOmCGzMNCwKDfbxshSRXSCsruS07
FzvsvLKgkUBht85E+hXR4uMHyMXY2rA1sOlqHS9fJQ3iyGlz7kyz7iOhPWFP+5EM4h5B4Bd7kPlb
/nMLwqXQ5zjcGnP+Lzf2bxoqEgbjUWp0Y7ElrgUFE7+ws4WbdRPkPNw8mfnVbvT0FeH/IGObP7rj
5cVSrochOd2VRndIffVajMa9qNISta8DTr01z//5q2PjPROxgVrQ8vlz6bShreC+ddOd1raHMet2
lpUS16h/cZmPG0ZLt3GsAzYCMGEeK6s6Tx/imF+96zRzNoQDLlMDK+LnN/NxquQqhs5mA5SD88Gk
j0NmIBPRSHeV4FjLcQ9NafvTlc5NUjZ01bxpKcbii1lyxqF/GCXzxIG+3YbMcIxmICEPB0CEqsq3
8bH3mc9ZXKoUmblPq26SdLLqER7rAsNcGi1Bgypq37q7bYYy3Gc0kzYER95Po13eIsSFLqAUm4N5
W1DOJgS0Mc6DbwJ5wBFof/HXn3wxcwItHQE8Q8cvhr5klFHezHaUqOQ6Gf3koA0UOz5/MR9nWF4M
ukrXB3iF/PFoy5lbJctIWGQ72bgQ0opup6fGvec2X+1aTr0K32FvyzzkcIY9Gs1uJqQqJRPRoATd
7CDaD44+bD6/m1MzkMMWAPwCh3Ke3Z9XmcAWDWGrpSgIcLR0LssUBkA09XX2Hb3+P99Fc2ZEJsqS
MTOSjk+oeN8dqI58omMa/JifXRU7N3kVPH1+V6c+nhmM7CLJ5WBwPIyHmvjYqeDjyWLbu05Hgzp7
YP+g4lpsqtD23voMwg4qlvqLperUnPeL64+C7sShh/qJHgmrS3chcNJGajgowo1KHlUy3fEhfnG1
UwOeY4/JYOdk+UEtCAwBHRnW5Z0KVbrNHdu96U1cmZ8/zA+8FvhHOg/RNVmOBDLno3nVb82htam7
7by21x/jSC825NIiSknISKFA7/YPieEVy7ZouqtylOmlnbliG3kIuyZMbHSXSGo0Sjzm+DNoyrZt
8tXp1jj55F1O2HyZsMyONz5VUOt2n+esNoNFrbApX43GB0AvvHofu95TO1CdcAkiPc+kiB/Tvqv3
gV+8RLR1J2d2X/a5taeK5C+cUVNgcbmPzx/kiW+NxhZbUNcVsAWOF8TM5W+IB7bbxAr9UJNBaJJC
URVkNLHH18+vdeJxkEzIh23PilV23X9+1yb0CR2UP1v7wPihU3BY5bb+Wo8kWbq+nLM0neaLHcaJ
j84wKNuzo2HF+rDF7qpsHKqw4PYS+zmKQ2gctO4pZlbTQuDOfCirvlzRku12//xeocv5c0WKDeLx
TGmRgBBXXl3sOKtd4vGrkOdmN8iSiflOw0fi6cIv9r6n3iSPljIAEHai8+ZH8dtmim8FE6hVFjtN
D8slLF5ak1I0Nz3Qg13ucJD+/A5PrDncIHsowcLGZvHoCyRXz4rigkc7dCESbqvqV3pZlCuBLO5/
cykf97vnsGEE1/XnrSnXiptcckQz/EJeA13Grek2zlncGsYX09epMSr4oGYfwix5PhqjHboYOVEZ
2JH1eA/V4922y3syGqpFHJY3Hqb2f3w4YgLDdGECIkNHfvwBGgMFd7Oe5G4yJ4Q+bn9btdVKUQf4
4kInJma0xboN34htiOnP7/O38aEm3Ho6SZK7LLSfwmHYelN5/8WQEPyOow39H9c4GhO+RjC7ZXEN
VL3GAoKrOoCosW/N1gEik/U1T1HHGtVXCtpYEj4UfQXn1qZh04JwpfjXIomSMe0ei8BaTRgGwAbc
0LFoqgNhy9GN6ZPtLkccWoHS5TavUWhwuh1JVgwDUhA91Nr6gFnRmGlGUG2N28nPUVxIA55GkdfV
Vu8Ia+EANYRXgFvZHRazORwu+FU0uNGWsJdxn2EYvexElF90WtXtvNS/j4u0XvKE001OrahaRKiF
diiUCEfpJ7UO2shGMZj254UlYihHSbv5/PGeGpuW4boG40TMlNI/3yDok7IZHcYmWsHXcmhevUhd
WULbkJKIqRZa+efXO/WFs+dms0f5HmX80fXsaJSlCEe5A90915wuezPd9438YvP60V8wE09R+FPL
pEznH10G4EgkqsEneV1Pb5SKK4RD3luZPtCJuqArvWxt8yWs5BdHJnH6ulRpeaIcro83ZL4Cg6V6
m5pIMU7PEfHrxKFZ2g1qdz1b0zjnjFPOeX1N2pWrjHAKOlySibw0u72N1NdOem0v9FbbGI0llwHq
MAac2mL8oI3lJ99tAyB5P6AHAkkTrvzGcKi9uBPZhcGdmeLj9ya7XOB8tFJchdjzEv4e0A/qHeG3
cZ38glkPWPBwdPHvc9I6o7pJ1i7sgsdS2F+9ilNv3AFAC+WWMoOYs6R+nyNivbZzmXZyB0BspLu0
GHt9mxpN98XIOjUX/Xad441Rp7o8K8Be7Tx7JidTb1gS7bH+fPieWhAdaH30Fei3QSX982b0kqS0
EmzTjqaTtxxny6IOZz6FwB/V4xems5MXo17JmYU0rQ/bXqdiMpKk1CHCcQgTAZwA7WeDDAxBZRN/
8fhOTQQOZX9WCyx7Hza/2TgKJ0FKsauS6gYgmrOElPJEDt17E2PeipwvnqRxaly4nJI4wOKlco/7
NFOtMp4v+7RkyKCJTKZx8Kaq35vU4leF0KKdpUoc38oXt7EeRLsxRNkcAuW98EIv3fiFNT64+ALQ
aAchyKrP3/TJP48JkTIS9Vv/eGLsh6DW0ohtTl+qd+GHj5HZ3WWCZvL/4jqux0mR4+/sm/lzRNWd
NkYKUc6Ok6iimtO8ylHrV0VbfbGQntq2zmhbSizz/7lH36HofWTcCLB2DcLxqEbn1subqrABwxtX
pKPd55n/RaHi1AD+7ZLHG9ZksjKEOnq+IzdoS2zDu29lKFydQ1V0X5w5xKnxO4O4qUWD26aW9Odz
bOZwg2lwc6YZc3xpIvUTJqCzBIXjEfwKUHHmAxAKRCx2XM6CY82Y5VkVyh/QRk+keEVPQQnVqjWR
LWNtwWwQNdVdOPngf2VGCGRQe5vB7b1Hz2bWBGhVo5rQaoK807m0WZg/9d5E0w4PYVD6S1K0l3gS
1Rra/3vsdf0iH0W8bvPRvFMoL1nsTfuL0XTqKfizU5cSB+P2uAGbZaquJSLl3aSmPWHGxqLRrSfM
42fUTJ+aeOy/uOCpVzzbM3AMuhRbjx+7SoxwLNkM7eIS5kCn2opUz5lOIELgOot6FqZ+/sGcuEXW
9dltDIednfvRmcR3Rg/kiMh2UBqtdVQRgS4jdmhjUtRPCZxmEqmi759f85de42gTivbG5KHyiXK0
PRpdoUYGseNl+c7JJ38Z9a1zZ0VGt5RitM+iIsseYbDBPrCQbP3SKXsR+Ie8nQBioSXaaj04vy8e
vXGiiIkqgarPPGu7H86+4WBPKuj4ouspQM8mQmuDKk1s6qCqtzCXxYKRgnzKBoNIQtJypCeD/Nr6
CkUsTsyVsy8cOQbMbBpt5p/fno40wsmbOMe3nIBR+SVujgXoCwSW0j7jdbn7JkGSiM8CSllGEZl4
c/qo8ES66170+mYcA3ATv/jyzaQ/sy2W26hnSGGbSDcoe+wtutz3EUUmU3a3tpwkWiMYtFaVJptd
5JTumiRUl/zYM7NIxV0q5HDFZ4sTZeRDeIq81j9kuvtNBwr2xcH81P3TAcOD7s4d+uPCEeW2JKsb
wf1n6XAHphRBmjPET7GhRZvPR+KpS6G+RGuAG51l42gDQtMJHvm8LAEhjVaq9GZLz6DSgx9l4dPn
1/r13o5H/Vz9FZxeWQaPj/9Sc7K2z2MOBx0wngUxVCOOj8kytoEqOhirmXFmFHpw3Qxmf2maWnhj
NhrcEpGprZLgXH79Qf+Hb/gC38AW0GG5/v8ogdVr8/r/3n8lXFy+5u//+R+X798rnEzUzv76t/sf
//kff//QvyNd7X8JchDmjjQwdNuaf9/fBAdqdTONYa5SU0YGZfrfBAcwDTrKJ45qf2UTMvv/m+Cg
/xNiA1tYpoTfhta8XtD2oZzrYiFmufowjlsNBSCGAfK4fZIuIXQxAaOctcpklOedG1ujyvdxF0Tv
Uash7iJYpb+3vcrZ11MT3GW5FwAc5s+/IBDZuTKr2jkfEmLNII5pamlC2QMHJyptI+HNPVt1nl9W
Hnq8VUe4+wYASnxpDp5YpnaFewHKp7lWbIzACdniElevTcyZXm70jsy5NIW32zCJ3/rSIeMsHsP0
kXzS/mBplYevonLks172AfbTSDMXpVf4txmV4VvkUI94tqY98sNhC+sJZ1FpT7e6kVW3QyjIKCNg
72oKGlJpe0H2tvKn5dCLdBaOD2tkvS4ljrTM7ts4GV5dN0cFVBcoX60Jd1NZqvoapVz0VOZpCy6t
oAYtws7c+JFr3Ll2Gd3ag4NwVbfQtGu6HM6rsDfPiRJ6AHWLMZx6o4tJrRPmUhdquifqMl3qxvA9
Rd2PpY3UuJ2udfF5GcMOnc0J9QucI/TRJe/wIUuT/NLrCWbTmmg6VFgrTbISRLjKOjh3iUw9D9+p
Fl9jkMPmn4VXfZoQ2ZUMIF4jG3+n4/s7vS96IkPAHUgNlGFk5A5TTt6Pd2ND7Hw6QEQDZWpeeRXo
tNEs5QWa3v7cquW4Y2coXhNLFIfEN5o79od4D/NUS9egaZrZOGx6+1xZ7cVklPqmNFxtJYNM3miN
Lu6a0Wq+UcrOfo4msgyzayEAp4OcMyC1SxBrm9DWm2eeFWzicpD+dVl7+bOoYgzoGDRWsjH1NUHm
07bXMeCReDb8KPu6vjIaVZwnaCOXvug43icMHLA3mu+/CZG0ULwro8RLMxFkuOQclLKwyehG1h1u
Z8cnOmWkVwnXqOg2Xh1NC5bfVyKfvDPZdvEWOaG6tCojXLYSw6BmTi2H+XDYEIYIWAD2RnKuKHFR
n1PeTif27j2RYXKtI4NjTIXTVWonRKIldqC9eYXwQHOFNUDAsncy4q9cuz0jb91l/sITA5EcOn2O
0DjRMvs5NnL9CRTdcO6QyQnUt24vYlfZw6JQZXdTaeH0rcwUe1wtU8OZImD83rdS+2rO4as8FW67
zpXXFAiaW7OLzHVqg3FZtB3bacYkyZB2UbbEbjSDTRYVq8+i7qXWL2LPCfYiSYgI9uEHgf+qs4VX
AtBaBEOJNsOpgvyRaURdjzKbdjIs9XWHuWsdw0e8QJ4H9LjtFH2SMvbWVTSWVyR2hVdVZJkrp3TE
Swa3kjgFrRqe6iByw8XgteOd46QCZrHMaBEnRrSz0ZUd2qmT8znA7YNlp2Gf3Ug16ldJQKFxqeFw
yy+11AsfgYmWauE6RaCWVlkGzCQx7ospL35kJFd4i9bJhwsxuRg64tRGKJ+g5XkMu7r21wnl+WAJ
g2ZYidhIaOUkkJA3w1BOeDI9NdyYmW48VQCZ22WoYPWVm8zh7DVc0Hj3hpgXN3MKzA3MujCffXSj
44XrQW9r/S6oR3N0HkI3V80tWvy2m8N4+NoPYCdrbVo2XpIPamV1ZtrfVckQem8WuD6AlxGJmL39
kHdJzw7MU7aWbpAlNMmP0VXKSLeI/6rqr6bP/+0DvtoH0MriOPQ/7wMuXsF4vsoff+wD/vqhv/cB
rj1nUs0CMZ2yMk0ClvR/k5z8f1GFQH+MRGfu9//3PkD4/0LpxQ7Xt+YS3u8kJ+H+i5oCZVaarpbL
qVj8k30BF/99V8Dl2YQw1pFaIaf9APOROnSOPEoBIIWGzdfcWfIcXdf4kBPGiOvJ/gqHNG8zftuG
zBd0yWTg5Mpf/rGzDP45IjnVGXfDQNmLRQ6jr9PH299ewvVfv+93etRcWjm6Cu6cGeZjc0T6cEhu
UOx0pR0NO1ayeNubQ3mTFhWRUK6l1rrWZwujptXF1ke7rXt3ePj88mRBffgDaFeaWJJJU+aej8vh
bTtCvRvdZkcUXsbqgF51k7kRXAQEk+eDGVUH5nFOjZiioJkrYNkzjDqmYlKjtrqD522EiyLwABsQ
NQD10sCf6E19uhnNlP8WK2ieL0WmTd1iUJACwArUsO7w34w/6TCktyLxWO3xJu4iCyBC4Dol5G27
fAYtMG7nFIh4oUJjpPNRcsZZ0Hiddno5GPdo89VlBcn4Hu4J9moBOKZ3avXq5XmsY/rqxp8Ra+Om
k1n3mLUE0dbJIM8DA34JNl3PWPaFKc+jQKcNHo/qG6Fj/GA/xP55DbZvTWWO6bgjnGDV1Uov9jwq
mZNzqfOzAYcwsTXJ4ADK59aAbPCq3o/FCCRvKKIrG5sW7RmftRFLKWY7N65uiqwjOrGbHVtJ48LF
dVAIT2KIaUjk/Yp8ruqQtmZ5A3YzOCDNHbZOaWT7Ernx2hBN95jA030sk8m54+2Ya5SxRFmYcPtb
ZyjfxoJEsdClAhH3cnyA5FN8I+6XN1Ny7to5M2vH7eETikb65w7RyLuyjMafPWbZB73iR0a9qp8c
3FrnwRBaewy8xn0La/wpaXp5PhSFf57nVFpWflJaycLKsfItnHbSYTJlal2rIFv2sjPXkNHTW+VE
WN9Iu4CJUlRvVsA/hilGgWUIJCXcwRDHeWa1JVGifM6e1oxbJ26zfeHxclkqegIOE0CvtYB4ReIl
+WIKhzodDHIAXBjkW80I0tsQKT/M9ai8JDxrDn8Mu/dUJ1RR4rqnh6brTBpG8RIPZfeI7GG68MuO
XyWicatIj14YA3fs95q6DNL5Y2fBvtJCvcPawb04VuIvGj/Klx3ewnzRRbJ7J+Ro3I6xaV2FFm8i
QES+sFjjVzkU4BxOYctzTaGIuplvs3MPEpj7AyRQfJZBcOvoQfmGCG26kH00PpgcqLcA8nEkVyVr
JZHiP/TEMe4Jy+1XJOaBnNV4tnXIe0za+VHPQzSToGlHIq83E6bHEMYzb8JyMJRZBuOfqEr1LQvd
4JDV6bdeq1vyYKr8KvR+wk+GohlruRNRKM/NfVTbL5BHyjmsu30MTcYm/ss03ppYpFeWlb1YgduB
gHcVkUo2g3ImWw4RL8pxtWYTlJa6UuQ8XPlNb1+1Y2Dcy7hW31rbKV5wsDJaXVgZlRkULwJb2VkC
nOVu8OYcBy0Bn+nJvngNIUwi9xejhj3LT1e/bs6L+AjqotZuh1HJZjXEyXRBt7Z+UpTjb8eiMYi2
oLQIut8AOZEl+dLp9XjXFKYLlCAY4i3IBDKeMoctlcWRyJ2zSMpnI8b1Dz7ExURmivKycaA8mE80
YY3U+dYVsm/e4qq1vsXYM9Nw14lJWtgtJk2uEdz37cXI8c4+9KForVsADVj1rWF8MCCELAunjeTC
sAfsA+XkbBiHNuRrmvOESAwNU1MrL9uCuAdswj5nxvS60WvtptCzW81uL61c5RuMpPbNBPt2Ybsg
/Cs7JAoguIR7TXoIvb5daE7RPjfThxoB05r01nbdWuP32CNYxuraH2lk5ntNhm8kTUX7aEIXIo1W
nRfExa4zuxsg5IfNDwPz+TqM6zMczMEG15EBuiP1V8ZYAUly7RAxYxhfWpMFPdlX3bisYAo4iXfQ
UlWu4qyU00L5QblHf4tbSRvAmuvA4vI4pTeZZ9nPUE1EkNBLJIKhtsalb8nbUbrx2sw1/ywB5XNB
q77HvsoHC//BOItH/Gqt74XkpvEiTaPT9zpJDLvchTKgGuGti14zl2o+o3Ry5h3pGBZMLdfPejv2
d21o3HE28Tc0WepzQ/oiW5s8+7da9b2ztClPc44iXj2gANl0O3z9BGoZPbk7AVjtGuC6NPUWL4dv
0C31qUXYgVOuxqB+E0XfbkM7ZM1jAfc22Mq7RWRi8EikU94i0zLwt6f1BvV2RGRsqoGP9YYXj2S2
BSf54UwOs88wS9NvWBYLd+kMzrj14w5cOMo2b0WUFSrTzhLsEAWaEMOEPt/awt3TbzT11cgkwnE7
ZTu+UHxXF1ZWqzPicYDgmLq5RztZr0QU8VXVa/i45UKy+V8QCmAflFMND1MvSMydQSaIUXZ9thKd
VsDzd6ZXlen2Hh7AdK8SVcDmqP3dMNn+Pm+D8TpOxbTqgrY8pJyfl46ZYf100m6R9QQn15awbtya
VnMRzOrDsAKLoCtvU2odWos5eai3xbiyfJE8u04IM0Mf+40VjFi0/U7bkF1fYJjJbzJDYy2HFLeP
Y0E2AQ6KVaiF/iPILWObxYx4RxTR3usGIn37wLoo6ACSgdFrt2RGeZdGOY2HOeszI+zIB3pUOlX+
boXlJTZE99wf8L8trb6H3J+hH0esG6UXqp6MvUJ1US7jyKnOsikQ39rEHa2Fa/fYdMyeOOqIao+3
TIxEf1fYirOVhT55WOnJf7F3XstxI1u6fiJ0wCXMbXlWUXSSKJI3CEpqwieQsAk8/flQvfcZiewg
o3tuJyZipvf0llAwmbnWv35jDhezUuG6Lo1m31uFeByLPiX3KE+zS7eL2x+lk3kkCbXuABPHkoR4
PyIMNrGQzFv09JWEjWpome/8RAzfq8yq1l0xLnVBrW7R3xb0o4OstgFR5idDL/odbAoyn8+vTC7Q
0TWXoWordw0oQhc8ViLFrSCI2nWGBcr1ZEfpYU5k/d2usTgmKmbKl3eDf+9SImWZwzm0hE1lopWX
oU0mUiDr7mdAFkxNkwiUvjPzlgMHFdD0Ap6Oa/RkRHc17APWAClal35k1tEmFotrcJKWZG3U4nrG
i+bOqOqa202dZNcD3+E3ACNkXVLkJRvX0/V3XfewXBJIlziAcDojjyL9/Vx8qdS2vuAc0f6scfML
NrZIuD+rXKZKeprsLWWo91mT5dziw6EULjeDS8+c2MUFA3x5WWADc3DNlkixamQzbrI4W5U16Reb
RLQc7mFZGXcyDvv71HbiawC/fCOFV1/F8/lXhOrBIXA+XUVKLZsy+VQvHUaCZCP5lCehUtYN26D8
6dQeaLhBLCGnNlFtXsxGtCobfs5iQLNPLKO/T1K8qVeWMgK5Nstm2selN53MgTgw+u1xEy/i8Ipi
6xG9Sblup6X8RUX86He6wJuIW2DAAwG71NMLgsN0r+eoIt0sDfGtH7G3mkRkknlUOwUumqG6/aCJ
eDNugssMBZemkfGDs5B3aDJ+IXuJ3kBSMSFS1Sjw1+Sw19lWleG0qybNV5GijAkTx38hxHA44FwW
7wzLfkYk9w2DJAeyD8eUIcZ406OM+jQ0tvsIBiM/pbOTn0yzdJ5suPYaKW8thxNGIgEO9la+IRMb
oy383/clr/AQhzjemVaCcl+X1AlFGV5ycOP+r53pBH9wJFkY/Uy1vFkbB8G7IW68z4bwJ7LqYhNn
U+m6xspp+baxJqXeGCvSbHs+HAzKqZVoUqgH45z/0kykslw1mIJhNLDUSFrO6laim+Fd4nWwcTFJ
ewixt1+5ZspQECv9ra2j+iqH4niZ9aQSDKTX4U2QDPcx2Zio3IRdPDUO0XvHrph9Qs2jMeYhpeQq
GboFBxZxnpjrvnaiAhMNcEJ8Y3BXNFp3ww1J+76KcM1rlYNfi+/NRXxBOH26iebl/xFRSEUbE7jZ
W0cphPsBXnJgn2CYtFg4OBr4aaSWaswkk0T+JNxxLMNqq/n4MaLTlFC+xoPMmCiuaGNMVOUUgG3g
tt9M/F/WGH2INcgoFkVlWKOZwHkENwG3/j5lfb5r0i5d4DVUlPk4H/BkpJBLpNffd2nx5DfU7eTC
1Y/BWDjpppmWuKrl2YWLn8Rxnnn4LHbjDnMN58Jiwd7mYKf7CD69XAeiKy46woqeNeFtz+5kcSbb
hW2vpOZ9Ol3Q3NABBJeTMnHQGWm2vEK23yThct9IeHcuTN1VT91SU8skLNYJMVXj2p0LTUhHMfY7
a47LC+ywqBal76w4s/zb0mn6e9MiERBL++pZtA1xAS6VbW3RtWwaObPyuspqv9kZjbwC9rwi7QI/
jMjV1XMXSQbiQUdFGrkurgaVmFkjLQlBFk40/MvOnNWPSmqeSjmTwUdVvhKpC3bJZPOoaiYGHEUs
dR0uW1dS4qonJgYDJEaoB6QowaU10t7i2BhexlbdHNPJl5dezIOD8zHtpWmLdRXI4R4qCm3VOKX7
YOm8YYrUV2VOX+6ntCeQQuaXgFU6b9Ngrh9zr7wZtF9/J76DNscUMQHfLp5CYwJDyOUvlcZSsCy/
Wrsh4EEAgbdZV/AuLidnJLh5WaqaTpaDJB83hP/UTwKUdodzUIanCpyJLVg2HenSNKTapHFKtKtu
TdnwZqqMI+C8B9YyllgFx/Z0yhlZkaHUjPTTDj4hAFrcXeFPpznGZU8PoBrnzxC7ZjbwWGIBqXtj
+uTGdJpOO6nbc6ctHT4ftMDF2sPKi3g9ug/cu9JD4XKQFfBMLvvIgyC3tGVGbPAYkMX4a4AeHv0C
oMwpVoZ5TSM+JslLExAVN7Pc5FpPMYfAuHioBjGogVnr/E7VUFDJ9sjDxfNSoCTAs06BeB8wGOMV
x6NZkKrIHcGbsmmeZ5YgpDagj4iYTlpqk8y+nhydMOMTxE3QGrcS0841ltD4gOb4GHLQmA2AA6QW
Zu4gMbioqYfZcQEoRDeqH3hWk2xpdtNXBi30y3ZTXBhLU4uimG2NTopgkaVDXhJmVkGLp+aaERp/
U2nTZKuZLc6xuPy5b/axDfykczAzWSUuuYDGn6Y5L2WKb/D6ipJDSrUQXP/6NEmk2tUuLbmsrGgZ
gsnLurLzDRLB4DLoWvVQWWAXpMeAZSCfkJcjkr7rwaXCXcdmx+Zu2O1PNMPVk46bYNOYKrwcffbZ
akx4hIkg4dfEzBVvlby30CuXtNAeZVFHRMXl8j0rRhNLL1y1xM4WIEFh6lNr5A1/POzUdEqhM35J
FrRxVNlyClAYP1kBn4Q79+3PXpFjkVhRfO2T37qzmuX7wUEKSyjwn8LjdqIFdTiXFUEIMoXlVn5X
jgPdO6l+Gw867pfz2WB1QG99ECfXPls+/T7g1WAI99qPDcFRMYbBpQp5wmrK7S9jQ1xDWGI26ZHW
e+HShqwTL7O+1B4mcWnPiwwB5i6mwpSXmP3KS2FTPJTLO0iolx5bSOf1rpkriqLRYjcjdu1+GilP
aoZ0l2ZV2F9IwmWzZR97wCKwfkTCSMoJBI/1GYoZOsCiAJ+9YyyTkbAPgIyW3aReU17muyU3eKcq
jb98R5FZLkOqznFAn6qCRTGZQ/VU2AbA4AhW56QRJVpHweLgvr2xAfW2HPZ8POdtVvs8DTp2YlIr
N/5GNzURvWeXSx1HYuxRN46+aWiWv9Y+1ZIxj7SKQzvwME22t2RgHeUkun0zvaGmtnb41gwzutMj
OAUDwjK9kK5Qx7EuAG+WrRLBrL1tcie/xk4ZB2YvFaANmKw6KuR8SGhVWZMNqCCiuCUkzkLpqfz+
T3+J/uz46QRU5izclEHXEr5Sf8ezj5JDtXNxkUkWWVqnyTVOq0/DIHhq5EM7F3aQsFSGnGfQFSZV
6DCqB6qSzF31min5CsumkLqlF+kVsSxssqOinKiqyFmH0zBthp4XPjFl/pTbQJnn/3hemFOZccQY
RCb+ECNnKkM490LOnb7BHnjalUmWkg5VsaBTVx1jX7DJwPWIrxG1QnGbRTp/qr2ZSnj0J5y685fe
nSuPoCoahzNA55PE52I1fDcuVcCkFaUwGZ/9ngaOOx7JO84w+AncR2K3ks28IOAdjey2F6SVrHIi
zY5d1H3EM7de0x0XPiVSasTwWCFAX1hGDb9Uq33lVCWJJN3BTQGH17jViGvf6+xt3OFVOrlsbUlI
8d3Fpr7xYxT6WSswpqM4iCNJ7yIddWydYTrJsVYPfe+617gI669sCfPu/dr6Db1s+bGLbQ/yEIR8
b5z3Ifrk/mA47cFIl8DSlrylqaYXM60suTZ6GhPQCgpRa6ApwlyW0gooY8nMrJ6zGmj1/LLf/1Fn
6t7vUwtHQMuFCgwt2H1DP46xmbLDNG4PZemQG4i8ZfFQ6tXlPBrDvmn6ZEP3Pm8nOEkUOj0gW1bz
dv1k6eQQB95lIx8V7hvsBpGoftZp4d8GXow5Vodxd2Q0lVqpTnwo5Pu7ccdfb99HSgRY8vu7b2wC
B+PY6A6xYatjBOt0Qe6pHlWmGpyEl0mEo4LNwJ741E6cInKU9IV9J/4ze/m/UeWHo0rhouR5b1TZ
ts8/kp7cv679fV55/pP/TZ4J/4Dm6cH2FKBdlvlr8ozzh8CYCeFfwFjNFQ6fwX+jZ+zzVBIrIjJm
XEQF7A7/JS5Zf9jOwqfny/A4DRmA/m+iZ7gCrD/oqNQn/LpXX1roTDgI1kZ9CNLiJaHl3GPBF8FQ
QJH0y9O5eTtDfEv8s3wbLSOyTwZeb4Q6hcS3ZmmbDoGN0yyWl0+1rPRqjJL+A1HX312JayAwRfaH
odjy73/ZOePOiOamJmC5G/OeRCvzuh3KDInKfP+Pb4nVibvWwpk0udbvFxqgD4ZVM5PkzLmSF/kL
HKGXjP/7by4jAiQovPE37wgbG+xwhK7ZcMZwGwYMF8kvLNa5Tv/Fo+NbhSiJUQgj9Nf6xbg2SxcX
2JqYoLK5hFxBGVzZ9CIy++CmPJ7Nr5tzECCgYn6ADMUh8ei1EMUfSEXvwrE+JCNRd14/3U2xvsdA
+L4eCGF7/wm+PkvPF3NQ5+Mow+n02gKFpMyKtVnVB6BGQD5KmkNGuOKqMtJnMwCtSnE4X1kT/v7v
X/hvPkXkmYsn2pl1/Xp5eU0FKgN6eeBcqT73uBCuRIgnOFZezgfr6zUT4HyPnHfsClAhWdW/f4xz
n/UTPj01phqElxBsPW0z24w+/4sb+uUqy8n1y9paGBaDwVDvAD0Lr/pG3w/lKI+y+XeP7pcrvdqZ
xrxMKgbifCBFP208nT3PFb3ox8vrrSMg1Qs5oXCU8JFhUPEKF4x7Jp4uxf+hQ32JJ2dbrUiNjdej
4z4ogjdxsakZfoDM7gTJgmuMkD6wkIA6+mY54AsQwJIN/dDF4WlZLr881yoqRVBWdQlT2a42tTkY
+WqqKXNnt5y2IZP/jRU21o5UBnEwG11tssIJKetdeYSagTB2pBUn5QN3tYZZ4I8zku1D4rpYAsF2
vZ+/TLj3XcSzNXyqfYLRyepuvZUdUsNUNf+VKYnKLYiXzYQee2Bfq/J2akL7W+7b1YWIsuhpKKnV
x1KLQ+STLlJN5ASOGUsq9zVBI+3UM2OnqKMyUbRZXYe9R58XcguBXn7GWds9Yv87/lARB43Vefx2
PIpvp8ytTgSyDxl0rCCptpNbmN8zfM0xLeD3GFC7n8uIm84J595VYVxfM0usNh1+WUhknCjKVlZf
hBokvSOoGOfznTIZyGUKUN9oamNdmtzdXLJ3lvhyroHobTgc7G9JnGJJjQ8tlufa2iG8qYjARmx6
dEs6KkTx1ckyCUQOIJTBBiuNNZQx+1ucDOKkYyt7ioOquPdGwFXVOvWj8kr7W8S9Q5YbgQnr0u1n
ftMQ4aXj12G3dpyJ7UZ7LtCOAaxx344EP9B/lreEQHZPEY8Gw2tVX3t99mJavNMe49dvZZC+6HaM
PnfeXF2My+6ctG11moplzNHQefH5hmGRkO3h6Tu89dwLDpVuDTsl3Q9x4ayoRNIlrKOXJCZiQbhy
e0alsVOHRMbG8sUjVOjKInxn7/UFskvbGBkYnFde0RK1QrZHcJl4PLI85SGg7yUnxiXluFR1/CWY
8UEmIirNn0Jc2YlIHgllF0kGywD/9RlL/sYr9imDyvqTBcQabrwkGh6SqDbCLTPTNsCxLU/nlQd4
dkmW1/wtwPH0CwOm8sX2k+rIPU5bjJ6jFTQsdXCJpL2vWNxfHGLhsjXmq8TlNjB0cpwhkgHPbA2+
3mDNgvrU5hV0kc4F4TJ1XK2wEjfwPfDC+1Y1LDuXQNX14HLKztjN0/jXizExFrnJPR4h8bDvA5k9
h4ikdqFkHeHJB60oDYeCMM1I00KGw8PczPkeE8cOEbXR2Okuqx0xQ7gMmGo2bTzC79S59R1Lnvan
PbO2XIPZ46YYRft18Lv6Mc4IJPWngm0cTFigRzGcI3y4lDnkmBprK+dNiCTOn1Rsy6OOMFVnfGav
SYl+oRcPoQ55zpEfQowxjtYbY2ppzRMYFFeETjCnjovFgZw31Ducvj3W0eskoI0gvC/6nA0NtuRJ
rZM/ZR2Kg8w9oGUvIXjZtfqHup2GPepqvPzDng9hHgOJ529K9jEEYQUhed1axZ5EgT+7vvE3Sas/
w/WE4TB875MpPZYw0Ld9RGg2p7F/m/QsSubdeguaNnwauibcxjnrHFuMaGXXfv4tIEf2hOntrpyB
quJZ1926HPM2h1SfpSunK/io2RX1TVLAa5F9Fl471LVMCln1eV+AMAx1xMiEpKm5YXcjHHzYW8vR
X7vct11mz2lrBNcBnhjPhSavwhk6C/nbCLDmRs5R93xR+B5GT30Ie8MspmozIMrfinZmGZWBCvGR
6XGUNRpSn+OWPSch3urW8hrFbKV4FoKNsmnYP0jm8G/nlOASu2mmTeQrcGHh9MEtwQMNQDihaoTW
8Rn2YaP2hVn2cGkzNjG7rzbeyKUbMGpY9EEH08AafySonqH1SuzPWwzbsWnbNmlx7dSYxiejE/AS
yvq6VUtpX9nVqbBqPiZAmJ7MWctFis3TSaMQWM0DczzvuvDkHrs8sP40R3arYflGhDlbV3nUpVeZ
0PFumJANkzSxBGIbnSANS+xa4NQ1Vtn2WjgzO2JX6fUwe9VXGE3h9exHcqNNv1lz4I6YY3Xs3IXZ
NNhMefIL1N6IzFYpj9Hcl7dtz95jxOweY8iiz4eSZx5W/c7JUIjHckivnMg2v4dW351AHSmJq/46
yNvi0HrmsM8SdJJlGBufuia9dlJneDCyrL2edNJ9irL5G5EOIwwamHDBhAufO1viMIfpzGRFldfE
+0U3Rf7oKyICmAG/VPFiodulX1nP981gxgdivYnCjku1hoaP78AEDYNjMd6zuX83RNWvbJ9Db1H6
XRhpUtxjzi+PjWTHMcsAzpRpkf8880rrvzZZUlrQH/IOdrR/4yr3yDrj3JZr7HV1f0Bw6TZ75j4r
m6nEuOraMJOMfQo2s4w+U/GJZGG5hiCYX8hRmSH5C/5i5EBE32Ya1NysitpJS2axqjNhiIxqycSx
v7alXR5H5ZTHyu/MmlELjAmnaPtNbyH4LECENSZGp2m0ybXm8Cka9r8S0vidYrCDz0meEXfhpkOZ
HMcMtQAxSGU0BEeYPZVcRV7v+M6adgB13WrGOfWlnbKEkKMhL/+sBVwfK439C804B77jFDYLaClM
sHfNvj4Fi3aL6KSuu5EefPYmcwkmYagXZygUk8YFEemtgcGz1T4FuZlDatLF5zFzNJRGywNzpb6H
b1H703CURZZvCPv+7gb9oc4yOAyTw2BDoHezPdYXG8dwK0RmfLIcacCH80vcoV172rNObWdVZQys
+yLoDrbChUur6DlPRE5IoJ0TB8VglQwhgsE7W1/1nNGMyWIi/6Rr98Y6LJz5iuUa/4gLH9JJbrUG
0xgdUt0axkWqhRns/Lhkf3M9tm83pjqhYXPH1YiVuNjU3PAhZzjI2HISwwds37dyyKUgJihUIJvC
2O51F1jj90liZp8fkrJ0j/3Qli+Vgyf+auzG1ixJpKa0KkjqRrqXWd0Vsgy6pxzjjdqirIK398zB
JY+BDUY12bQ6bVrDRy2mXpxcsjkuZZM1jDIQBnSDYlDSga8d4sUJ0yErrtq6fhl9xh/ZfXY8NJWr
kP+1DwzLv4Wsx3YbTRr3kjTNns57oJTESK7HObc/1KgubcZvfSoMawjiphkK4E28Jn8vzNuZgLm+
NYsDgDV7rz0On3AwJuA+aKiZSJNLrya0/jAQZ2qsPCR+kc1PnDqnhCxkhR/1zdDl3/4eABsMgbGj
fGNq6MeEuGEDVhya0kKrxWgh53wZ/fRZFv1dNHHkv9/xvWnU+RhwieJKFr0J0s1XD8AdRBkzYTgM
KLWuJXlnHNaUJlIm1clwyTN5/3pvfRWWC/piEWXjh/XGJUo2FHuul+OnFxAzt2LHrDZpKwdCMPmw
Oqyxt3nLt+aJYLw5H8EjSU/ePrFHawf90liT0SmeCe4Z9rqlxnn/973ps3GPR34F4ZUVwnN59Tww
mxk91O/pIaTf3gsjrk61O360Bt8gFlwFoAKHWIyf8WJ51Q/2aT9EnqzSg+dSuXo4/2Hv6HVrBTRM
sEtOCtKUUbkziR0e3r9Be0EKfv/kqQ+AzoPFqeutg/Zk5e7QFCP+Fe0YR4yS4UgZURQ+lT11aVuN
YroODRHeS3e6z8NJvRi1GLfdNJB42VUySZfNrulWqugDh3lFTS3n5s2B4hdSApSxnyqyou7CiLD+
+gtx+T+8+iO82rKWEdE7eHX6Ay+3Z/kbVP3XH/oPVB3YfyDuYJEjnUFdLzzn/0trQvMPF61A+Kv6
9r9QdfAHXmeIMzxIVSZAMr/if6BqEhtxYF2gSxYNytx/AFW/dg4E2SLZ2YX7hpjbxfPs1ZpQ2oDw
W7TWSTKA79R6iMtUHxpBlw4JSGIxUyUTeT5Zbhkj9SZ+r5CukhoyQViLZ2IzpW3BRMUNkajVzJux
WsZC2M1Osa0MQj8jydpSskVH8suTvnmLfS+/7JcVZbMhg0MvfhZsHIJt4/c9NGj7scC6pDlBRtJ3
ViKNtaBGupwG32QgOtGWvn9BToI3l8T1eTkkwPU93uYrbNpIC8IH+yo+eV54WXU+qWbFwFG/x4sM
OSFpwYY6WI0JvxEzPKXXvTv47iH02Hh2IiYH6iLy0c+s5gGv6hUpu4AYdodgN5ApHPRK9nRbC8+g
sK1u3ruRrE5Zu3hoA6hwZFt51Hgr1ahyXgvyIZitj5JnbXiDvitmKgPbmsVzJ+uqXWUq4FIhWEC8
bfxoqfgFYd4rIhqBBDzeCJVt1/b9Dleb6dPkoWBpkJkoQDr2+sbh7J3wF8TAuyOJsAkAEdZ+jFh1
C+lojLcgKvrGTNwCgnsS218saDXzKvVb7o0UJPVoJGSgxt7Iz9B2Gmjide360R5GYnu8ylbJtU5K
flE4CeeCUzbRXxskUZhaKYOZpp0lVotxAxOJK+zOfGPn+ZNXP9iQGJJj17R8f3FbzGBZJNDczY2E
qOAUtv5WI6s2nhy748mlLbb2kJ4rXV00NfKg9UBowkxSEkxECveBf1v3JERvyQyloNKzgvxmkKKT
LKQx4LyKpES4qXC20yWNQDxnbOH3/UTDMfQNfxwuDt2Mws0Vgyn+arNVPKR0cnkLnsuo6yFBFVMf
3Nksyy3P0enXInV4LKlRACJowejz8zRXvNZhCZQ4YTBTJMd5eSX+8nBC8q14f8RDnUJlAGykRWf4
a0Kexk9JTFSfEZiQzEGn9GFhhAbQzVILJ9tmYhEWyBmo7j1/9DfVYBdbtBwIsYWyFi6znr4wAu+u
OH1ojMqMwEJm/D1ijKwTn6Yp9u6NwbeuxqEubkihjJ9tkIkDwLEbrFNb+s8yzodvtWNmGqIcn2wy
Mj4fxqEL1km2FNQlKcfT0daegMdY+eG9gcdcd2uns+FtBLr+eTU0Po93TEuvuTY7LXAsEbGBALrs
lWORYucGyezQsruG/QO4lHeXOhQJL1M29fUj/1hmL7Ue9V1amuALHi4f6yrmG2nhjaCArkLrC7o0
Xk+RG8pbGdHIu4WMWIBhklj9yJNhcflEKM/7vK7GaNeaRt0+tJHQdwFbfLM1Zp8HnNq17e1z+Bcn
gfqiRmDc0mwPGYBhFtn6huGFOvTEzOlLh0DmmCzVnquAUGUzXrwtuBzSQp6LHy6k4J6MzZNMcrv5
ks+zYdyT+T2ry85ujOZm0vDadwX18Ph1Rvgefk1ds8zvoiGDdAvFXIFEOs7FPCw1/TyVPEsaOp6l
Nke6gDCMeRDMoJpDVATo/Fx2FaIMFdLE9flDzrXBiyMKlnXsDcui6BoINyvsBthDpVvZX9LeQLXF
9CnxHnQR9DZKZsb1kNisvPrhO6N1lXgBQH9QlFzTyONMkzcaN9lTYzUQWVcEb3Y/nSjo8m8NO4RF
cng0i+a6KqVE0q9jIwq3fkE66dbOcWZawTjOjq3yeedd0VhXWTc7+lvQRyr/U/jStgGAJhUTHWoO
tn1dcv7MCjYMXNSLSNoBib1V5ZnmRWI7NOhY+QOuG7hCIgOb4UWlcXAlMW95EEMfLbGmn33sRce1
VVb9V4R8xhZKRbLhw2jXTh8nF04RRmj0yCJblSm+TZZjTcTP+6U4ALt4ixtjpowUDJveZufSfcuM
IcAUSTaZ6qKuA/O+FbW9dkrzyQBnWXUSUlM+SYJAk1EHBzIA4+9FG/l/LhYQyHQaeU3m1WU/Nmra
5kWjbwmQip+EM8htySG1oexz7hi6ySfLTcqdLU2wHoLkxcrs/OYmjAle9eucZpHg8uJTWsfFVztr
/VWIvn43Gx3996CxuSSplOzGsb4eirm8FMAL2x4G5C3bev2UhX3yeXCLm9E3dbZvFIl0aiI4zKTu
3A9plX6OW6/4iodwG++aTiIa4ADbFLmaj4UR5js0qOlqIJBhIUgCnRC2XX3h0KkfpCjrZJPNrdwF
qVl9SzxvebQEh60Imurl2vN7fVV72lnFwCDkZvrtS9r4zaaAfHOwF4tpotrtK0I8fXeTmEISfThR
Dmzaxh5AQ8tqHxRqWqZcTnWxpIti3GDdZlFV703cgTYEodUPEP2AftC0eReSdnjYTqXfX6nOjT6H
deLtjXbOd8LAPIxEkznAmsjzroykUyc27OmAJ990MRpWiL9WPm6ntiHUE1r2WvVTBo+z9b4M6TD/
NM0iO4VBOJ8a2YTFByPZV30sJRHmyvzPual0aPZ+L4lUVToBofeQ4LoaLAMvi7U5OhxCeBbgQwXP
7hSxyg/v10WvmrfzVRfjIaTZeIJg/f37Vd1oTvxkFOFRQW17RLHIxlB3NjXG+9d5Nc47Xwf2Fkbt
VHsL6+H36wxJ5fVtGEdHF5CaPdVs2LMXdrTQERvGP7/YMvLlcVowQ167HFmsYSOmCDwGBZBxtbBY
z/wAI+3D7fuXelvI0pRDsKYWN7Hsej1IV3Ho1yRiEwXoTdbV2cJD4MsHDNdVp3YxjvvH17OEh0E7
iZ0eUu5XQ20rqFi2RSmOs06i+7+OIJmYnBhCLiONNiXb7IPH+ar15t1xc4vHIHp3Xt7rYn0qY7cL
m849wj2muvJhBKeUJfSqUPSBNMHk+FNroxz4ZxNAWf/jj5QpnOA5m7gp2sJ8ddOVdJWpC9QVfZ8u
iWoQLLU1fhQh8XYpcBXsvkIyCwTuAa8WYBHZo4zS1jvGUHgPUwpp1g8+tNf7u6vQUAbEzgBnvJmt
e51jKyw1vOOZeeGljG8gQv+Lz0RgrY8DAt3OYofw+3LLF68PYo7F0Y6gdWPKxkcxTBgR4D7DFKer
9TB/0NK93b/Y09nDuC1Msbns75eUGDtNY+G5R6OKvAcLCjSz0YFSpMfEdSthntsrr535RN5fEW93
FrzToMyQr4Ohz5sVQSRHas41qdd5z+qOKvbJzoMwM2dw/d+/1N/cIh8H1CZqcDwDX2+WPspaLlXa
8JQXZmxpVae5ZTxZuAv6vHRwevlq3r/o390ftqkBxDYBHcN5tUMPqCecJPSsY+FBY5EllIXCDJI9
jc6HK/2Mov3el4egE4t719ke7M1KW2aeJvsJo9IWanNmlQIjbt8s7nDTaq4qBP1MLibKZD1S1zF4
m9qrQaHg3DG/cmkuKqaFaF1+4rvlUHXOkuF7kHv1RwkSbzde5E2Ov/ClYDBZr6lmMhVjimyRL7wE
M12nEWT4TBucl4R/8KllIWX9+2/Cert2l/QP6kqgSHhurzkpcQFeEnHGHY3AoNbFaoz+gZRM1JWN
xZGZ1NHyvWepdaX6Qj1CCJ8t7H1CfadaWxXE6Paz2lElwZhG55T848MBNBrmJDw1h13yjGP+wpkx
FZ4ZQ8CqL+eAotsU2ZMVMyknAEqmMMzNj2CcN98mpMJlNQDl8IkiDv99zau0XYp+4sUHNyIRGy1Z
tpqU5DPVy3jj/cf/dxcDNyJGi1ChtzmlUClCMgvC6ajxpb/BhCy8RBNHlyPMmi7p/Yu9edXcWUB8
iGXijsN29mrVYTRm1W1kTkePGHmP8rXjy2Ih0iW+fyH7FbUZKizb5VI8wGfkSH9dGRXEW2mv9kcq
iCZpb0x6uH5tBG2HtTkO0e2pzgaQEDdGTpOMCVO3ovadBix5OQYrpe+SNAcnMEaaJYZ9SLxmn/mx
aXhAWaBezs4kAIz2XOU0xyPjkptOIrUu/+lGfI7HYUzGuQb583UplErcIPyybY/2zPx4ZEpxQlOW
7mNz+sdVF5fiG3AZBQDpvZmIwPC3u0EjtGmgEyNewb1sRapEuCV7qjq5Un+IHy6n1y8bo8uxBlVy
8QMNLAjIr9+SnEvHUo1wj57S7p8kpQzHxo3C+zMg4vmk5m7UXIivldb2BweA/foTcReSJmRNhysv
M0gBDP0rF84tIBjAc8mOFp4X5YxMPfAIQ5iQQODwh7F18B1Zbe5uhoph71UYQ4WQThOnB7ubYFKQ
3zzdmX0JijjnC16jiOmksegb/vmsV2lKr83Qu1vpjd9NhuRvGlNxCOEDMSbOA6e6FVnLjH/5vDBj
pHqYusaqj0Mz1e0KnY++EaMGGmsjhrenHOAI/oQa4sW/lRHwJ/Kc82ZjWnl5O4I2XDVeZ+y1m3o3
hKsZ877yJcPdocOJwvQxSCA2PjMJgMewLlwlblNfdrmLj4RfkFGxqbAopoGe0yMKU2uN/Ez0iEOt
ROHP0SuiccG+zQFTEgdfNVjVBXl/MwJcq7B+jk2QA4obqFHXoa4XMBQ7gORmmDT/7BsKLplXAVFC
2QmxKSf4ia5Iqpl/Oyv/P8XnkEcgL2Gx1DWqZq0lshBYI8kWC4jcihdq69TgcXgRB4a+q/VcJjew
hAqi6GM1dLct5JtyA52H1V1ZZZ3fVTN0kk3Td5baMYLUd7kJ1Tj2vCq/gwTQ/tTMXWcQ3kzMfzqe
7N1PjbIWKGokUX2F0JI/yK2LZ4H6gdwmiM3MBu3MvRwWawMQDRwoiB7scr3zatTAG3AQkKtuTgDC
g3LynC3kQf7GHhoajKzRkRdKZ73xWVcpl1b5zKkVmozt1SopnNa+luMgujsrNZJ2k/O5JDf0q+hF
rcnHcAD6nnsxDE3r54gxBmM91xLBpmezhYs55guScqCRsP0x9S/dIbLGiwSJZcS5akFnqZoCTCuo
+3be64IedsW0HJSRibNuvlhSNAWqV8EHhmU0UfBG2nA2nOsAMHu+PuSjQA2JxxTuiMIEQTkeoBr3
0Xmq9EvYzdEN4nBopWcIThQ9P8ZJtPXFzWzxnEZJEm3bvoWX/dey8hbKnLlovEYfB6xnSVJQAzhP
QqClrYQpKKeiWtsdxIZ14wm+IhUsWrikEDxXu10wcydr+++Qk8dhpyEm3vw1miFT9zkSzlJIxC61
XVD5sDytbEFiG+D5VU1a0AEhNwj8+fjzvR6QMQG78i+FzzxilZupznbIYcz2BM+HZVr+P/bOY0dy
JO2yrzIvwAKNNCpgMAvStQitN0REZCS1Mmo+/RyPqu7Oqv7RPQ3MLAb4gdokKjME3d3sE/eeW2ts
GvJZ8mAl+DVzA1E1Sm7bsuEHETqzk02dG+1dCUdzeusnx9RAgThWlt25FbFgZ2vKxYOdpqUMeuBb
85ersclYoxc35O0saqbA8UxtTEyuGJ2C+5g1QFz5MeMK3iuSbQ6yTNmZzjOFeQae1FIdUAM/T4Ya
rkoYIhQILgDK9JCrlmn9nDOUxIVZLi4jCdRmh0LXJ0ZtTMg7lwHZ0kMn/P3G/+896b/dk/Kp+aVm
+ScU8Tkpy6+26t7/vCj9/ld/W5QCGnQvxjzWoRfzwi8MQs/5dufotvu9C/3eof5tUer9BqGPvbpk
JkTr5nDp/m1RakIu9IAX09VhoOMr/0eLUoh8f76/yQ2nCSb0kIbhEgDxLXn/pTQ2kQUUxK/ox1LX
qrjpcbrb2gqnfggRSkz1OpMmlsXZHGq1mYgUAipVd+bXNOV48oslKdkzze0Z86b0KlTViOWmJZfy
SXhUV6uxFR+Ra0SPxYSbPIls63kADHAGo9TdLGDPw01SpcR5VUgdz9HI/4QGPHn1VktjojK7tDyC
z10QuFq3uerMD22EqXNkGzVBvbKN7jSkQJcezSzsnVO7NAs8idwee0Rahdn/SL+Xt0Y7sRurdB8j
5GaZQaUsWTuvTKWbKMnN/hU158iuqYfOd87MBH80Wj6n3mS8tvdQuAo7MA0Ux+s6D5NHAUjVj9h/
LYFKUsar0CTx7uPyu7dlb+xbp4u3xpT+yKnL14mTXOiCTUIcI2P9bWokDzPW2xs7ZYO546+YZ0g3
YQFMDQNxR+6Y8lEmm+tOaO9TJuHT6mkxwmpwuCgAPq1JefaQS+KmhSvsNNZ6oc28E3punQePfZTo
ekfse89r6PoXL3xaCte5rx0rfFDdDCEYG4aprdK2tnKs4ZKT2VFh+jLgbV1rJD4HGZIvnkE9+E0/
lQfbq/JjV0NPLvtiTC6VTchueJ7HY9d3kRtoUR2vncRe7poykom+DSO2M5mALtWBj/aNbiS4YFzK
FcOjIQ5k2KQbdw7DnawK46VeTGgPCwjWBy93ctDW0egkO6npbv6UAJ4uHyMCxxx93XPHTtp6hFzV
tlt2I7Pe7rGwl4SVp7mViPeoxYDLK5cL37KI3C5aGRgACa4WVIzrSQ+R8aPKBrm93LlxaK9hKKEI
zaoxDRIQ2b6ECYvd3OsQVGNB9S9p44nfWgZwsSUcIBC5hKRqzkMGr7ewjH3Uq7M1u6m/jIvvJNWV
bJaG5KVsCwUhPDhZuSmpTB81Lb6dUGz5im+zQZ7c+RglXoU+LhtWCOEmHOZ7puntvoEKs4bOk56a
QtP3tSWzTRc2xsEjBMDPKGfXrYaotpBTcpCMkjajW8FNyudlrzd8NA07Nx692XgrOxdqmYgcP407
DVVqOmyq0um6AwDUdE9V9qGoJg4qkdGxYTOxWpaCoHooNKzPglbW/UYuNc9HA4lWaGUQNZqnIZVM
4yCK4y9raV4wRAACY/uAeU6HLSAVGCn8ioBy+jk6ldZEfhBAyi2W4vsu0VpfVInwWTOEgVSpuOGn
T4+pNWuKxWNX7xF49F+41eeVG5s8HD5su6Ye8I9wQZbRAuCzaRCuWveNmd9lbnJaREhd2utwGZeH
xO62ld56Byca71oP+/tSGCuIXOsIopSKCHx3B/nYNs3WnadzCtoNWk0/bVSdd+shZJkWhfLJRpns
j2XRrkSRf+US3IRRjjaWmri/TzTyeRrQx16H/R53L4dg4p5ljd4diDCbJIjAPsB4easDzVsXkypZ
jg4j762auBBeD3tL3dMGWuz1O1fln4tD7ABFvnewOS4PvWJjRmh7ehV7XYq1nCAEPhXiNoqb2yFt
15rLL7VU5dXkyvQ9v5xmWR86NR6kVjvWtSHvEqOxD1XdxQEvGCUNKUPolOMXXWspZ4zpZ9wVYhc5
LS1K0uQ+GB3S4FhcHlCtmeuWY/22M0eIHIvt7bPUuQttdcsaXN9wTLjHKtVGJ2gzu3vmXOlXxuCE
g1+bXXqVGv0QNF3WbXVeqI0O45qNlhXfmdPkndWko27QupVMi1cwMEbASg7FdbEpAXj6U1o75Fi3
d61dcrqgm8SfmW7AeJn8eJV8j2UCeijmdmjCAJsEwexp95DjQdgYxRLej9l4rrVGBZPo0kdkLY8W
QCU/14b3dvFe7AiWHBxH3sd9DU8TCDi6wA3YiH1lp1vPSEOeYiOvDBE129FVnyW4/LWlFhDxnfFQ
E0vNGzhjk1HE+XC0mlEH5W7e9V59ytv4CYA7JBtc43olZ5+Tdo1l5k16I6tXaQXZ5SytNffGbc1t
C+/+buKlQ2I9kD/JMeq+ZWEkXnLLtVfKdPioaZKO1RnOyJLXQ5Md6I67jTU0xlGBLPSboU5Ym3tV
HGRz7m5RgS/7uOp2XZ0ehiTMthAXkiDytJpVJVkBVZYHS+ghUEUrTFsoe/kpNV4vwCiaezUvuryN
iwsUxFHNGdqbFszjUK0hZcYf9WTLYDT605Q03Alj/ijksCvh9XnDwsWaeth0VHc/MAfFGld8DlO5
89z5JXWyfD3w+yAcqLKAsJ3kOMzgj5CpbiSGeiOILGu5mkC0wHMKm3rV04UdrcSKNrNmzn7bR+Zr
WPX1HdOjrPQ1lrP12s04mYbCLG8ibUAPXSmwPR33Wg03djdXVroSQtSbsq/7kwFfB5WHQfPS62DP
TO0x1sbL9Qy0q7I9X3OtqxEj7xNijfJaj+phWsk5lyh15yXt78pUc/demy2HaTAf5aTXHwQdatEu
LNBGbCxnNIkTyAXJl1JWEJC4Z4310HmfhTbciNhBoS7H7q61yhtI7xoNpHZbzHF/jVf3uVWm2vST
XR1AbD67LVlSU5IdDA3xC4PLYWXA5XrjeJW7Ea36e7oItUYHpfYmKePrtBrirQ3Sw3fdOiMcQPLL
tsOrFxGoVuqudo5QKz1hMBt9EqHcnzZhwKueNb5vxWb+XrnOfO+MGkKS3n01M6sO4OM6T6BHkpUW
2nqAwSp9AFKko6dgeOo5JNyYJra7SV4+RLxgqQ/aEEAK+28+1/x4ER3Mukh/1Cr7mHXNufO8cng2
22Gts4m/wpJmYTvgynbSWqBWTwhIpSlW0q91lR+RV1dAY3pJjVBGZ2Hkuy4LM7DzDoCN3qvuEEc0
oMvcuL+FI+ruFsdunrXF21XdPD0MeNI2wku8JPBgFp6g6P5oMveT0znHK2l7K3q4/jFJxdEuTW9b
e/htLERea+xHXBA016vOgLUTWwbjF61KDZQWJFWSgd6cUtEuft6186nAE7YbKzFBCGw+86gQQT/l
Cfy8ehD3HJAtgrHezF3f7sY438oyQldRyIzLq9XK14bV5TGyZ2uTUws+XRw1MxaL3L2YCmbzvohN
8cFAxf6QSQknc+kiYptjfDWMzdfMvbKNgZ0NrROOGHyJB6dfNIA5OApM4zqkUTH53JYKsjRMsFVB
5YGhKxmiOChCwVzyqNBIbLJiiO49jUJUnCm0ggKclvKWPbL2H6yx7G0DNWVVsC/DnxVdxCmV4S+T
5flckltetYOVys6H+1mv8qpKIWb1b0MncSEtde+XcLdXVo7JSIUN919WwcouQd6ENfkkrsh3JkID
P1YpDgx9XIfKvErj1EQmZKttXtvuMYkLZIQd+6bM8ZCZxZt8aNQdMUtyq4uPnoSJTYceYp0W4SNT
p8LPG2MVatLESVgToGopHCVpyPJ2LtdOQ6xZyfuuwB5H9IQhgkora+zewwp9UcNxklg+AsoBGB0W
3yWL30avO9kU+Bvd5RHDh3vEylCtoSigDEqK42jjnEqFi4huojRE2wadI3Jq7sS82leVvPMQl2xh
KH7mZf+IqgZAs73cdgV9itFZUGjQQQKy7Fa1nGPfrC11JqdhAGukGU8s3VoCYIricepaBihwjEBx
aZLllIL5V6ENiVmo+kZaMVkrlkeMlyii0GkFSRUmPzIlVmJyFvxlvMun3PZnnTRWe3LDR0fkJyxf
8kpJXKh9U/6k+AUxFLdrkS5VEGuZwUs6IHVsY1LQ+uJRyTRZ5ZhENziNvbUkOpKi27X8WUvzM9Do
SxxmVmzg8jdXtht+6K0i1DOb0OOP2XTbzEghvdYWwZw7VD0C04Rep1flNPdXhl4FRdWMwdKqy8xE
n69wLx004ep4oiozcIaBBbznjCe2vj8q+g0oq6+Gu7xHtU0WTdufaHNnHkaGsmbZh242rFGlbfP4
p+Y2hMnbrX4SbVrvmkzdNIkJyDbmeIwbNwDtpG/qmvYWMZ25hVm+NSpLMK1Kj7BuuEBTHbup+wjn
hySyZHmfnP4z7KOPqsp4/1Tmbd+dnSp8rIalA3RURm+aBmiwh2AFSmkJItM5LZ774tYY9jyv2mZc
jj7YZuDdAKp8rdTFScr6Nh2pzrQ21YOuX8CqEreh47OrRsoz7Qam6OD6WTEtXAlpyK/LTdAgPajj
zewSm654B7/NKv4yMwwTZjjOfmwarfJHie0WoljxmlcpebhJIgoy3w2CRqbKzCnwKgya8NnL2xFZ
5W7Qpubih822aaJFKqgNIItBhRnzFXMFMj2GnzQ5dfM49m7OoDMe9lTVGR7zuNxKr5Sbel6iI9Zk
e6PK/mFWC4rqyrv23D69KRNN/LSStj8ucWIfQCGrnZHP2aEHvruxRqkeZIn5ylXGOz18es5KSYMf
6de4cAbIWFV0MpnYBT0K9jMjYxi5C6HNZoXjPB3olgZI65uOrcZKJREFQInmqzTlKkI3iBuZfV3S
dtGK2YbGeksHiN4jL65Tc23EeXhtIxMmA23+gEjt+YXhINrNeWIUteeyJ+pTpfOeEGRki+NwhfyO
sqKNEaJm3hs+omTVuA66zyJGlFtbJWWQWlZkBVFwe7gd+exE9kS5R9e/IXON9NrJwKbGDDOGpL2n
btw7RYlSOy+Iy2GGtOY0n3nprXKd4y9Psb3QTLl3farJLa0wExdzSl+HzPOopKWenbmquYVGuoWr
ufWORDy6fk0A9coIHcvvM0J2GHn7lTAaLMatjrckT3ZtJkWgVJ2Su9vqxy5rukNbmT+bBWw4Miz/
0lsYS3IlON3XE4TJm1TxMlYZAEQvA/mf52OgoSrz7SrpVhl67uMo05vEQNyYVcU5sp2nyvXaLfV1
Qygqb/92mjal0LfRyLwj7yx6GeKVL6RdvhTCTYSP3ddS1SgJu/PM/N5Xc8iE20QT3NBnGWYZFNDe
sKXF/Hrw5KDIBWiLOZUtPdzFhL+ugf1ZFC3zYeSTGvQX+q7ed5yRllBwwoePwUk/YFPtXdncTCiv
9wlhMitayCNH9BP5hOVG9tOaVot3MlP+oBtafHgi0a8W0RtbdxoZoyxcusx8UW2LO5y6ezft18tg
ZwGQ3dKj0VnK50ZqjE3GcXQ3BjNmzs47Y45mfqOhW2f2SOfljtAlaAc7TSenDoAgE4GVCJPxEEOJ
8i1ZfpRd5d2mkcYL6VrbZmziFYrD5RFFxY2zeCDna2GAiNQ3XUvovFQqJVuxAlJlw5ckGsNJHwpC
yVzRXLWLccxc+90UBlPx904U275zf6phrmlzEzy3YiHdqvBWTVoGIq3TFa6qn3VHLHmuZW9xo8Xr
5jL6v9idM6OqGKq4zEqW1ItWZcksIBYLZQu26bRKb1TMAR20vbInZL7SuYavZxw0avoaWW2O3n+g
KR+aWfGXuMkRvIM51utmXbZTqVZx57DXt481wHWM/oGdTuxupizvN0xxUODkveVni3Aabui56SEI
LGorMeV6BBdJtU/yhgUIp1rnsztUVkFp3GBCJYbI7h403JbtpnBRe26Ulo0qMFmxVUebHmHm+DB6
zPzSEw2wVp6RFdbMHKBy6qceC8xHm01O1uG991omFr+vm/9vz+u3X9UlUa/9n5cv/ElxwTkXd//r
z39sf/9z9FVdpt9/+gPohKSbb/svNd99tX3OP+UL/fE3/0//5x8hfv92Es/y/F9P4jHGspT98yD+
+x/9YxCPL9PDVIFbyUBB8UcSkGf9BjEPS9LFcvR3ppb+m00vaF/m4pcIoAvE7o/5u2mTE4iew+Ev
6C5SCPmfzN+tv2b5sjZ3jIuAiWocUSZu3T9vsJWwAY80Ea4IS6fKxJ5tD50vEdzzAbTl8KpHhYOJ
waruknoury4Tc79xMQMEpdena+Ek+n3aZcu8VsaUXcduR26draHS9hy1nbzEPAAbEIwZExINLBdt
DgB7T3IJYD4B5WLFxyEfq5MesSrwKyM/YRnObhwi0raF7sXb0Amdrcxyaveo0ADjgXPeLkms9qwG
7HPfXo5auFMainJ230BmQTCTFzO+ZXC/s9WEZD64JG3BkbhUDqQQ3FWNxKKcEJa87/WPLFuqd8YC
LtmIZmj6jFc7Cki2yiOrgE0WTvb1GE6EeAnbI/H8wq7eXzzaO6IUtc+xUs1Pp068azMt3T2EHPUV
TUbYBHFRi5skrnsAHaa6k60cD2nm6Cygs3QmxSc1vlK9okO18DAwbTTpo7CGXEV6GR3betE+SxuI
j4/3nhXq0pT7OWleBm9qIP5d7BKxOzzGddfde14H75ZUIPVx8aG8cCpkHhNgak4bS3nPKMtDAuWW
iNSQGviGnqh9bHmZQ+Uu1HvDjr0PDDk+E4PLrdKX+QeRhd3OW5JuI2SSfC56n58SXV1rS2QdMtXV
BxUuy5F8GuJ5LafdOGTPGCtF3wHkYu4NxesZZS90vQzUeEo9X40Y543RmvlxFk4IAaiw+UUnj0tW
hP1JJJYGIV+PtxjV8wcUpvFz1iVxRs9Ym5TwxOWsCTNKBYMA9EXMzMwM4wHvPUbWsj/30ltaaL+6
CZZI4BCLl4soNmJIH4xtGa/yxYSEgitn/JkwIKR0nC4irDJnkV2nMSl5+Gl8STtwilS1rOBHw0ZQ
bnGuwQKdDFZQc5AVI3Mp5mrcU1ZVR09QhgwbykgkP5pplNA2sSpsnZxOCGRRcQmJZudN0Ucd5pbi
CjeBdxuFcxyMrrYmFoHGfh5WtrKuktwbPuFhZ3tdMT4aU4b2q6HtyZ8p4+m4LEx72RV35aNXpeEL
aTORdmAy36Rrr3QEaYh62/sxOSp3A5zWcD3MmXjtvDykqCub/lb0ZfOmkEcEXj2K94xhDyXr3M13
JGLl7g6y+kgmletVmHLmFnq/OUk/7ODa+n0ozCdz0ONjg0ftg4Jfh5XJKjkKHLXkuzoq3beU9LJz
Zk2zvkdm4T0sTCmZ3bFsuhCZ8yFf1VFbkcJSFu+IAbxHRv8fmj7WK7tWJrgde/6yasWKqxWiKteh
G5YvaUSJEeSKkCderFK9dg4tns/eqt67YdWRETSwc+ssyztdAkNW3P23iP886RMk0q25hRvgDEqu
XZQq0Ccc4A5D3zIyqpOVZAIOH6aD9FkJ52DpLT4wM2asqZhsb6u+50RjFOIE5LTo2wFqNUmKmrWt
Ej2bVprXhRIWgNJfDaLs2YZxmA6GToilVxZJugWWk++jmTQchmEoYsgU7u6Um0gerFOkz9BhGmJu
BJNuDrOw34cR2RKQfsf6bXBmjAcS6dkOTEYEgEWf22vZKu2zshyG/a1Ih5u5mTUOlwXiRqWlHsgb
KYeNRoDTG9CO8avJ4/F1lqU4m20Ca6YbW3f2TWtWYeCFZnMdz16YrQAOFwwoxhCLjwbRSuj1fZS1
9crNvJFBryLZHQvKyi6dg6xnYrzKMr/1SIxYDVES7tOMY7MSstlOevEQlVa/bRVJMBfQM7MLhcsE
J9NcsrQY7DXy8eXHgsuoWA+CCJjK7CF7VfGAh1B30+tJB7TTH2Xe2GXHomask2fI/vQ3syPLTH9x
54w5N4MaU3Qd6Ni5Ta/DKdSghRH1KlJcXosg/tUmsOrOFkTCciwSDgvAdz9E4xN1annXoDi860Ub
Gr6epOHTeImYNb/TZkunpKK9RNC632m07SWY1oURcaODa7rBR9tsCJGAspxkEoEXyxR6bEag7Nc4
trntgqmYk6v+EoRLz0UmrnmJx009nR/XzrSN+E7PbS9BuhhtGToJRbwuJkKSaqFcny2rJH1XXYJ4
pUskb3oJ56WWc9H5XCJ7zUWbr0E+9cW205oKedYcXnnEgdyzcXL2Eb/4J4N5QCizsrb4ksHBh83y
lsl0AujSaMsuEvlMuTgzUmFvu2464o4y5j/Dqk/EcjS6xdnHScwIZExvmrzH+NUY5nVYsbjlkM0g
Ei/hZWthsFSpogqGubzAYPrqJsLbt708zwdVTeIEX1vtOC6cbQoa/DrLhoGG1hhZrXtL/CPssEAm
E92Zr5oJOzRZsCTNsJW6NTI1br3Z8/aD6NsnFVbQ8oU17Pg82TNL4UoxoHLYI7QjfGlURLO+Ynkf
082aXnM7mnrBCjU1ycQiW5wklAQIeJPLazrN8Lw43rRvuRgR8xCwDT76U68S71O0plH5Vms1L2So
xW/6GGakZmn1Fs2pBmN64Kjh7RdzScvctAICrJxNMqTZDZuQ8a12nHGVdcJ+NarEvTbmkk9efDk0
MaMYyXYZR4hbikTm6r6cvRecn7jvhtiNa1xWTS8CvXSNmMXC6L0mWpjdI8BsmxtbtUm7Mx18q/5C
WCpZLylxuyfDZp7D8FiUeoM9N07gXgOsEqfKWOZ71USryTPh6Jux7Wxqz3aCGKtgGKTReLsIgx1o
p/K2gCmuxS9WbVrJu2HzEQ8weerWWo1sthnLE4y32GchpmlgzxlBWOsPvGUNxVZoKLFCvzfh8krZ
Oz2zti0/02Eynjw0AQ+iieoDNtqHpnTmNbjjYu80LfmwPUQcp5ru7Hx55QD8CUz6Pe3sV6cf+w/s
VlQQkqAuv7X6V8fT0p3tuPkNSX7rURbaiRcHORow1X2JKPCnuVhD6Xd1k9HHMo3HHdcnoEiqubs1
rTGbA0b5jKZqxVLiwbV7tS4WY7mNF+od9k+jVWj/b/qic/Kpqrb62f25E/rubv7RJv1/1T05LjGd
/4L3UJXde/kXFdP3v/mjefqOTUfszRzp4h5Dxfz3/okuiZRVJlYQHQQegIu+6B8qJh0YDnJ7qNoW
UO1fVEzyN2g8oCPorvD7YLH7T7ooecEf/ypC1sl5t4XJfyaGPSwhF9H6LyKmmukSCX8zNHymtBQp
WsEQD9m3FViNnc07B3N6ybgoAgJ/MVifSa/UgpyG+Ecbsj/3QSgZcP31uJlIk2uYFFWtY38uykA9
UiauZJVSz6eK2XD+nCyyOVXtov9IzWgik6jPSGLWMeNeghI5UbeJZlePKCwclECNNwwHVjlqPKva
LtcxGlPKJqaZqGdscrnQogaiDzufed1J7+c68XH0E06WlouxYsLxNlDJc0rHzK2GSZ+p5GCtYQRg
hEH2uNx4bkimdDiWDMakHSfnHJXyvs97Z6epXu2HqkgZQCTldDs02tZIe2NVGd7zSI7QNtbyjrVH
VF1+Knabz5PFccCKir0rVu/YE2grLwtGIRhQAmNZ9VWesiRBa29xxZaXvCDmZ22wcDwuTMWJliTv
a+lpvYzEOoB5a2+Ipkvt4wjE+pMnQqwJOLJQPSx2vewxZreaPDoqmrJ1qghllSORWVvl1jHJdpMx
nskHIBctv0xc6cvLDevxYgD+JeO4M3dpMsXo/REhQGF0jgsDdnZVgaB6NaY1+WN9ypzVixRO2L0o
kAoMRwyQoC9RTtJSut9SZMepVzXUtNcBKPVd20J5YLmjTT+o6uv0p8eO7+dM7tRoXhllaxV4q9mY
bTjwL5px1MrOS00mGuVu4Q0nIuOyA0pkROCOIj+arUaf7hMm3+Za5dkthbVa6wnVYxhn43U7s+y+
YKp4WzL6X811FkGAEOLgpllFzp2+bAgay7YZOawiqae7zu4lQUhabqwST5FPnTdddHBdyvJAmjzt
wEjdEA+vzswwN2drX0y62nC+tu+VUeefRtcIc+Nlrc2kvmH21rmhy4KKKBUUNq0nyARgQSzNKD+k
1NBiJ8v+LU7l0AVLJa0bItfZiVWyjt4iJfUjMMpig0xP2w6mRObFtzvntllvxSKm25JAy8umh6pS
itBhSOaOAM0MPTteFBYMSo2WXUlml/th1GnDAP5REHW5PCGLXw5UYUw6ibVcZT03kzJRj+lIBvo8
urJjhhKrXtonjJJwKaYsfKMm8DawJwa6SlOusyYrD71w6kfk+lfENVq3l3f2dShafcVEAElYI84L
eXg+l3YXuGzbNhSa9NDSrPWflSDpvLKy6CWqE4zOjcQbP8CeanNGknNiR9s0HbItRsmQGLULsBPs
5La2lXcfSc3ybcgsJ8IPnhZDvy7NFMEdq/RTtgzWifqQrjttx2erIdvFT7NpRFhhGq9kiiIk6qFo
RP6Y6+adbch+LXDI/9QA4BZBx9PYZEva7cGIfmJG8lAkhvAjtX5uPD8bbHlfm+MUs7Mfqk/pztED
q9lI9wFIWh/sGomzQUjH16i1PSwFrPzwYPymJ9Zl1JEgZOB9AxfyHXmwCPvNMnJ3E3nw/kh42SXL
naVEZ0WCN3rfJUfhxf1DxwgpyHk+D+3U3PK2Zj1vzKTRMiWystDbaSRiQPQzG+fgKg1fPMkF7o/J
LuMbL3cTqOJV+YPZlrfKdUofv0bobK/nSpL0qAvS0tK7rlDuHl3qtMp4d98LIvgKX4yzgabDDIOx
Y9KtM6eYJwvtm+M0sCgxqvlVr5tvVR4BnY17pK6jkCmkSdt6BRPmIfyvl7uKwVlAOzk+s/IkEM9M
q7OR10w6Bmf6JMUQBY5hdj8j1mhBZjVkU+Zxi23DMF8MpGbXi2AcNRCvdjOXVrUROWpXg7XJEVin
fu8IyK8BJNms2VRVG63bqtHfEfOrlZz66g7INGjheYwRp+Ix8KXoop/sUvRdOZTOq0lHoK0W3lrr
hSMniAFq2T7ROuOqrDj53ZGxh+MO9tlolijgE2luZCSMR1xi9dEdrfhQeaqmeGOd0uGX5Ml68fyV
zAh2LPRHadAYIQnF+pzT5Qi2y+EEXEQQyrFf1Dz3ATaHLzKpzbWYKo8u1qjOCLbSQDMbdYKWMt7m
jrbu58w7N4j8Eh9hWxwSfqNl51gXzYqtUvqWtwPpQG1en53aRfg4ihaZAwHLd5IQy93gdtO+msJE
MrKUxMYQ+HSthjp7LmBRP0duqW5YtoVPdRYmx34C3hCP7vIolJzXsV6l25nh+zqcO3agdgn4QvLb
VgFtnd7ty3wZULU5/SMIKX32E9mWKy1hGWdbkiQnPdZvmtZhieQw3ziUo8YEtMjG+WgxO8yAF5Kg
41bS5Dl244uc2JpZA5I+JGzoW1GlLQeRCPvT4OtrQRWWyQ0O6pFdhO49z4uFjkwuXPQuYfCXILQ2
2dhJZp+IG6wfyCVGiKrhsctQIjKoWLnjdOqbSm3ammS8/xb5f30vKP7dauHiXPtXxfHV1/g/du9F
3RIi/fWn/cLv//KPEtn5XhkQNIjE/5f1gmP8ZllY84EEXNzmoAn+UR5bv+HYFBYcd2CRiLkpav9Y
MkjjN2ho/HWcA4KKVjf/o/L4z8UxCQ1IhijeYaHxU+A3+HNxzCpxiph8LKAzqA/NhZPbsKOnXx7K
f8Et+4sH9fdvgvMQ5z6/5z85wCE2azXeYOJvMgxQk9MuQGQGJ6gz2a3/9beid/m12P/+VpLH4lhS
d/R/8n1X4N2bNDKX3TQkQGbyhALCYFFNagMDeAypuwIBDJmhliR6bq7+zbf/iwEW9D6SAXmZUQjB
i/ZXNyeCTjIDbaPZkfj0YBTOs5u0/5ld+fdvYdFs4TkHIGn/xT2slDb3eiianSXGB6BRTxRjVdAD
v6CsbniX/r3X+y9eOezZf32gLHwN3CQS3yj1gX7prn7pnuD7SgwXbbuTI0FQUVYIoL6eVhwyKywO
OTJp+Q3/hQbXAQI2EYhgsvXgDxXfsOAWNZHvGJHAjwi6fI9+DLDwUA0e6/tv4HD7DR82GgGNpmBA
qhi07dE2mB9GOm6joe1+lvLCdVOdbjyhRsAfN3t9sWJ2YV7hSuFajjNzBcV0epppHE7UW2Pkm4aj
ONQbr3iwrTx6JgmyYlyuzNswIhLY6siisy16wUGi/wLWFF31JGr7UQH16MItZsBlNZuhX5Y9Spoz
YolhYxbFT+nkd1UiP+kzbjt2JHQabnGo9ektGlhcecQ5rjmbcRzgd1ll9dJss+aCky/FymrT8Yvi
s9k7RFrVxOZQoFPsS4NU2LEa7asJZWTgaXZ4+N/sncly3NiZhV+lXwAV92LGNoEcmZyTpKgNghIl
XMzz+PT9gapyq2R32Y7oVYc3FWWXkkpi/IdzvqNHxrOjEe+eqBhkZ4tyOx4GLIyaB8m+jYNZJsnN
4tXRpbPxKPRu6gtviCA4MYeexnAgljELtwnMn2uaEr9XqBZC6BxXViTsdEsl0M2kG8+Rd+yQGky4
bRzvUjuAIJRrET/uYi+s4MLhAKok/UwxNY39ZBaO9qLSobklvZCf42LfvZQypXFq4v4gDFIh46bB
TQq1Q12Fed1cl6RrkxpapzuGZVwiec20siSoLhkLyRak13dDnIlnsyQfGcL0hNgh1vvXPhbYE3wx
yzMosugSK+qpIoaEHNo59KPaRs47xiuGCM72mRzX5r5aePfnTXsOMc+81ovbXUy0jwdkBvJaToZ9
yAuuBaZk8a7vimlf5MarouKl647RqCWOMUEtjb17wXZuT25Hc71EWnm3EuB1lj3X0VRWNRuaTOya
EexfaVsRBH+7Aj89WfG+8cz+iuxocm8WZd+B/9qFoYF5POwcufFk9JmEWMVU1nqZhuhk5mGN4GK8
J5b6iVaSd/uQQMFGWHnVtbzkYzVQXfbMAWG4yb1uMB9l+J8dZoRrR6tq66u5FKvHMrLK23zmvcEV
zewF5lsk7o2wnt9ajV0mILjiPESJdtVFtg4m2UP3kWlENCQ5jsc0rJ2gFjV/W5Qa6DA8TTNQsUKq
CCsFREBzw1c37Qo/dMneiMJwvJqo/hkO9tQunqb27SAIfU6Z0JF4hFsm7CefSGnqQDsbT4uu5Hmd
cu7CBJhgifqTsomoU9tRb6x3XzzJtjrqOvEQs6I66IPxGe/RWXOz6DEtBRN4hyONjO7UmWXvD2Ha
kOyJUSAkVhLhFJg1e0mutbZGD8eWMsDS+w75DKMOwJ9544bRcAyZyG+lJu6RD+46puKHROtBl7Fy
2y/A3/2IyPsn3KMOE+t21IKKXIddr5fGWztAMCtVZW/baUdYhXGxrMrzC5k2xbFwhvau1yqDuaxw
j3E+GshNVeZPAzMYpdANIb6plpswSzsMrWE1P5XSzc48kJajhHu3Ycjw2pSs+HTP1TYjxaUP3oqd
r1Bnatq94gXAvp6+fROtyapZLoubNneP2aA/pblCHBpKdolucyKRgEaAwUsQppp7HYXpt5BdLmuF
duv0uvnWC7KKk94YbisTdQ4RFdx7PBLs23hOpjP4lOxICklzYESbBuW4jJ9KEHn0wM3KLPKSefYz
mxsICeK0DkG07EUCzKA+Xcx7POR2AEJO+jLLk3ZTWpnB0lV1WxvzMveJPb3n+cyioS6ocNvCTxsn
ebYIITjMXoxEtW6y1XI4mT5wEmubucBA+sUxzwQmjzUbhWW4zVtXO6D0tJFIOV8dabDZGYhWCOrQ
StBPuc4laye5x3Gco4IwZ9SgMxb/1ERtZnvq0JPTe1VOvXWwWE/e2rEEWK5F0WfX2sLenvfZrDj8
g5qeJE+uQCc3eMdByi4GLEDfErICI9Gl+qNZ21sbC/9LN6fm52kgJsNu7OWlLYwAkCi+uKRqmpte
Vh0S6oQrj/3oAfEEMH2IoQEvz+9F2upMCBoiuaOwPQLkH49DYvDM+MHNR1u1UvT1laj/8ar/v1YG
/f+bgKPg+Uv90FrkX3+b4q/lnyv8j4/9bQhurNIfIBPExTGy/snKK4X3G4WoLbD+/uAh/63KNxw+
RBnvuVRncOxMysk/pETyN0P3SMM0INvhvAUM9YeE6veyDfXVD0nVPyjjrF/qUgFwfa2KyTGyuKip
jf9cxZHemy1jVCTnBvHZ/GYyoQPMYjqduRUK0yBP55EX2XyIWebk2rHUFXryNSygOMC0EHu2RvN7
Y7DI9DVRWf6UzMNyNZGh8I271AliAFDNUh8KXisMDTdpNs7mowZax+2BaPW4adr3jAhlXlEzXk1r
C/czUai4Y61z7oeyHzAPV3aHs/DR+MgBs0dsZK+Y2rN4Xh/xKxkAfWuRn2I27z4JD7xiBmZgUC6j
xUondWYZVlfuo9KdZbVrotEiwUSiqKQcTYoqby+ty6Zg6yamkYmXuHY6ElqLanB1Eh9EjtMZJHuK
2EDUX5XWNjunruY7guoLFAfzmPBRe9aWz1UhnPj6Pzfgv9ZlI5f7qS35Oyv9Tdl06r/8t6bM4l82
UZwsPvpHm239Zlq67SBTX9tqtHx/20S57JT0tf8WONRZARn0ub9vohDtoa+TMN9cYeh8jE/9cRMa
v/FHwZJjtOc5vq62frnp/uompP38pZciZlM3DA/Ij+6CSHLYlP3cSznrsJQFbnKAxwADS3qpArXR
Mt/GGNmQXNQNlSixczsK0wyiXjKKdbbdVDRIvnx9RKi6M5YpT7elVUb1QctKiYmsAuIsNkIZ7Xse
E/lOVLJ5rBip3/DOJT/NROjOUok6FXOMcRxiSR0yEhKScZ+SbJDjLjhDzS5fizXquhILpAocpHBt
Kc7ds1QUC0hV5U1OblnhlwV0lU1f6m6114l/b0gX19aPfEBQ0iSe7/S68557gx0Lk+CVfIhTenqI
8AA957GcHhpk18cwXXk3RjU5oEn0Ii1PJVxg9wRVqH1vXQEUvMhBenyQzmXxQfU12byQYQMzJ10T
lDYVbmJAKHoEu0ka8rI+B9+cFZRSllp/MAZlPC2jO90VBnyf1hCsY5DnyptIX2HtlQPX+gc5mb33
uo/xEozjFYuQd6LlOQI/aMCMIV+posWwmYyGP2ZOYOzy0rLe5ojPUWzzBejI+bYjdqw7YUAHT0JF
d9gbJG9ubG/itzZX5pSbEu+WJYLfnRQWEMb9KIwb28QVVMAVvTFSpGwuUJdNM8a4y8J4OBolSByI
6XzmB0kSAwAE0HzKAYlwXXOEf5zQTEQQgxD7eM96v55hWqvpjlPatp9IpGFpN1ZrTNgE4CYPRIsf
4F7LdX6FEsE5AotB8U+3zeDWwHUBEYbGje/4Ay/DQ53QckeDib6vuxyFR7XWnC+N3cJIyfJFwwYz
Lt9VuDKgxVB4z3M2PnRLa+3mQuEKBZAAb0Bvk3tnMJF/YZ/SfDx9+qUwuQCx1axXbc6FnuIKC3dz
FfGTllDnnyQq893UehF1gsxz9cFZd7qBq0FvWs6sZ3RA5T/g6lDKevMa9u7KZo1aLj6NDM0gHHi1
kTZVde8OdttoK1bSuxprbkJkJpzgsoKJgcsrWl9jSVXMpwJvQuynHn6K7cAlyrCb2/JcItEwDx/h
iFrCxJ+ZvMH3jpceQFSOMBULKlZS/K9MEDchypj3aVqFq8Wice6G9TqZQSm99uspcg10/7nVV6+u
bPlhDKPjPVxYGNEmeMR5GLxtZcrqFXtF+PxxCccaXPE5JbqvXG/2dVb+Gtpw8Uc2tL0/rtCyD+wb
6gkAXwr8zW6FzT5TenAgV5yM4VeZywXTO6C9M8QhXAHrLUE2Z7xHKsrBw3fKyRY8OHg31q/4fZtD
bVUQZ+zelhcTFSNBpGLA9N8SlbVJauLQMvD72MVLIGYLUwScVNY40Kfn/DoCuNEPRH2NHIr7QQgu
MI2AJJa0eGwx9JnyMugdvzVoJ33DgMoAY0x+yFhm3nmp8ehtug9ma4lvHXOlBoHR751WGXfJBz5L
a1jREmq+eIGA/HYAKSQguhGWYBEAERjsmhrMSym/rzE10bhbSJ1UW4zd3GF6w2Zwsxg8sXKdldvD
3E7IAhJImfFMeqPB2u3hI4zLLVLI5jlpMTG4kdw8IprCQ9QBEBcM6S4dAX4cQTgMDxUXOspeldav
qQjrg0ebv0e3Ce5+hYmTVIMczlVJszy2sOLMw9TziDQWfuEpXbMMNQ+ZVZDpmryEAlfHKSodYB5G
kcPNz0MS7BNBVFpv6pCOhpGzlMUrXzCGZrqV4CcNmnaTCxwCGqe1aUk8EAid8GMVUl7qHhgTjIWR
HWqDU3qTi5LrRbYdMOCVOTziBrY3OZvQm3gly+c5PS9jA8LWtoO3XjkYA8uZlX7Dj9dpX96jlAVi
rCyubjJiLiz/vWeskjK5MllnHdi4otD7uOZNne2LLzp+Z4yB6/XfO7a86eMBWhziCX5Psb5GhlHW
HUIFyr2dIGov2zRt5waZMtbr0ZvBQFW16z1rxspM/fFIS1oZ5wGwQC4lK3Sb/pi4LdKsmmlds62k
Ju9Mm7sry1K6437k8BpQ4z/uuHxwzeexAKvlT7XVqN3HkxU4srT3o3LrZxnjDnseI7jjL9ZHXkJm
rk8pOYCrNFVnvXkrTjnpiUGVqtcByBfvSIW9Y1NV68ugFuvLOYx4AnsZuXjjYvEgy6gfet8t3YrI
L6UKqZCnqfnA48fIx4AsT0qITYSlVJIrsXhXedF2pEc54UTsAaOr7H5JMvTrcea4Pu7S6JlXKYC7
zso5RYXgrkn7iWct9ySOGB4x5FiOupX4LOns97LIn8tINicvnHoxbmYWTNQhRnPRTfdYeuuLCPZC
diEbo8Ki37t3snBEyL07GLumhohSS9ndWIL8BgwiETiaSD3F0GiyDXS9z3WnbzW9rM8t1gy/6Rxf
OAn3wKbPZa6Nh66bj63qKwgOHtOGNXSj9NHRvyCS3lUMvHaa7Xh3lTlskhzshG5a4mW2s0pbswdy
Ozwiosh5qiI3MUzbJtdNoGypBApaNPQLsI2WxTREEjPxEfDnB4n6TbHoqwBKmKmxSwt9wO8TLzvU
pCOWZZXiKHfGeQDzwTBsN9uYUQ8el2XjRxiNSKpzlEdkl7nculPnnNrE4zVHYuEqm6yguYzyCaFt
ea2xcLyNl9Q9OXrI1SvJn7CVi5TDTSrU+dUEijV1+iv8vOLaIe6F7DPNmt4IUUqeZid/Al5WZ+cM
Lv19nYIP0bp2dH1zabydOxgDoXiN9wW/B4OV0cN8zUW2raEpBG4zN5ASEu8ghnpg/91hvHcrJACm
iTmkB6937TYqma85XvZ70rnFbiHamPd4LMhkGZ+8lZKUxhhInHD8TF4pwR6J8yWqp/lBWXMRSLzU
OyN1SNrorOa+FRxWkDr21pry6Sv6oouG2pxtfNteu7Fa7vNltvzS6fMdIQTmPvQGps5ebG6jur3U
Xs+MvrGpjLZtXpfXwOd4ROFZJvxGVduIuuHU54086YiuD5ZXtsfU681zaQB74qAV24Hx+yPAhBKD
Vu1uNTz+2A1tja1Qnt6ZyH5Bjp+0JZW3vATQq5q49eAP2scMVfl9hIXYKIzioNMR7t31DWHM0Gam
CDCLlXLCgNdory2rp4AJj4dQxLrvY5Ay5AKIh7RJ3HM5Z90TaiXtPOcVe3ONfEKFsbaxv3RDxhA2
1HVGmlNR45ntyk8J5TvlXY8zh+tbTy96E7oHwBHajUDWD2lQOkHqmiQyYwUnhiNHj+E4b1qaf5q0
Os2Yk2Zr7kvT7jSISUC6nBF5xNL1exGmyreIkfV5+EfBwnIEHpPqjkNhvVdQ9LZ6J4mFqES2Pq3k
cUZQ8xY2GOiCsGynT+RjwIfXGirBWBTBTEzitmNPdAlrnig8+Zt8y4SeVOJYdw6iRUgGBWUOWp2B
oTUCvjgjrmAQXhlErPY8SNyGY9dZ4gH0RCa3kZU1eBscbLnJQxxKFHQyyVeJ19IO0TsP/2inEr0O
FldWyJwGzPiRCunyS2Ik9h3JqDyYmtg+uGk/PmsM1Vxee1CIUZpKFWDJpANR9ZahRXkdt9wXMXKm
Z9AB2XGxMcgAeEh3uDmWba8E/zNx2L/rmXgao8nlEgdJaWon/DAUfjxICW/4CpktOkd1fqOGrn1Z
qT1XiFCu7bSA6UI18Jj3uvgE4cVuNjApwu6U1vUMz8OuenHMU4hSJ62Wiw7tx0i8HaOmvh63CSlU
wwajuhHehh0pS37F9mzDlqF0X8M646EeJslYzTy+Z+FhQEA/wqA1ScrF8vUMSBYxshg4ItApojde
EQbx1l3RWDYgDdeIdqRvWjmekYb/nxn7IgNh5fATBxSOzdbqqUERTFGAF2NLIWIPJu+muK6y+STk
Mj3MuLov1KIk19QjZTlrgOqHPvd/nWAZa2/8M0qWWZi1qkJt28V7xxTrl955EBXZo7U6VDZiFd58
lII9MURj40w8pI22eEQQ6JrHueQtGkzMsdLTYOrDQ28OXoscf/SeUXJQvLPJpJyXHVX1R7ZBZC5U
E3FEjGQWkvGDq4TWs/DIJg00PK68KZ1mwsHMnOL9R43MZH966Je1KSlm9HYqjDGFD8ky3a2vlbd4
5SwXS+uicIZBQkH20wDkHwz09F/XshwOh+QJG7olE42/C2tQUqtjYr+0vaEsToleLpA63X6tvIqJ
b891SC6Y7g7aY6Ev9HJTrvhac9wvj5Nnc7QiY4VvWwt5vElm8q8cLP45oaKMIKBR4Ro6OsPNiFkd
bclIwPehxNyR+7EDhmgbAdQ4/AjfASRKL4mWlrG+S33y/te/7Grn/OXcW2QXWg64QyEc6az//acd
9OBFsWawAYIgNKCJ9OapbyGwpWzbGsvDOcRoD4ne1NZvsFLmh7pjwvCRzxWXU/OQF/U/Ofyrx/OX
b4SC1jBBUJuOIXl5/vkbaRbOjJ63PU5+WK1YKsHOdgySnlsGMxwECMAcOR2iuwmJ+VgNdAUFVsRs
LxtepH7bVmvnRDvy14dqlWv8+S4BiQRXnDmT7jBt+kXOwYI3Q58YJ4ewxG4f5GVJgtBiLn37yZwX
KOpm7lG0lwWrHnsDBOufcff/wbmCaSlxLyMXMPgW6yT6p3M1KluWi95FB2vyXNgJRRvFQe/JUL+R
jIMjerKw2sdGrCKIgeFSMPRtw5uo6OTFFb28YQFM8/VvHxZWijho6W7RMfx6ARVGH5ZoU6NDoa1h
0hNF8nZNp/VoXEiM6ZAi50GfwxoOtCGqXv/6b/81H2A9GPz1BBvC0hUcnF+m78XspH0xLByTmaiH
A16QmZ1RW7t5wglRs4VNxBhd45I6oXaUa5f6I1BwMOtKvzXteUgBPAOBVYduHTRVNbP87x8pXWOx
5ml9fOH/rIL+qd4LgexP5/Z/mUQHb+mvXFfj44O/z6E9Jsq8rNaX1Ipp1SUipd8d5R9mCROvhCBz
4xfJF2siZKosarCWC0v8zHW1flv5qyyKBIk56yX078yhTefPIqlVnmQajs0TQmcnZH7ssX6+R1lg
Vq09Ofp5EZYZLfu4jeYOzYsuNvncXmsd/OsqBwuyGVyLVHaG5Msr0zMbRUgsDy0A4nPIDH0711q+
i+a6ZP+/tNdlVBww+/UnEnedwMw8+6rsC+0RujeioSJCdBC7q4I/tx8Heo6nxMUpyyAZrYOs6nKT
tyifbdT1tHAkEOuMZAsgZKGBI83DCclnwNBEhzRW17aRNyfdw82r6vB+XOrbqS2D9Wm92jHkoW4r
Y+PaaGKczD5Jky14n3qBiur3nkFt0CdV6+dDk/iNUczXYRPhKO9EQMfF6gc8Ghmh2pbSSu6YQi17
qwQgVkT6Xius4sWbh2TbVmkcgLPdZlNz26SzueW53701escs1MkZRVh4Q43c5u/PkUBzpEx6Atc7
zG0fP4CtLINcyoUhqu75YzmvsulqIMQ+uW1mT6D5SZdtXsO/oAajcBGVgXTVMpjvIhof837aDPj8
TnRj10pS+1GXPngiJ0UXW76XE0purhqUTMe+gczIR68vYJwICp+E3bWan61umP0BIf0WBXMXdKij
AwK2I7+xNJuVe/8lbxFYTRMKp0LGV1UTz76Bc6JcnB3xoNUOwmcRYPsHJMZrfFNb9sEDENkhSPHd
VEe0tITa82wwYKCltJAzI+42eqgtugmeTBvy+ajzeL5gFl6OrXSHAF8ezs1JWpjRNfqGSZhB4YFj
tNxoP/U2NgpmSVtPJp+rqTKvaog3DBXgXFlGHfR4WsHrRXtl9OS+1bQtWUa4XVJfytZ+dqflnOij
s4mQv++0grZWikXtnSp/Wwj/SOrO3Cdl2DD5HostMgftVOveN5OpbdANnhVwTayigo09ckm4TXSP
1xt5SIRxjeYHWGzUMe6Qi2+2mdjIzjrWeiI/z+Yi0Ti0V5OWfllmc9pOyq22Scze1SoYmi4LlB08
GzC4iqQOnKiCwb4g6TdJFfWZXtZBKptPWtshfnOmEJ9vCwcFrP8eEYm5LQ3P3NlJ3uxCI3lqEHJe
F4KQPMP9EnmtIALEqX2rsrULTHjMsODqzcDJ4vghHyCyEtkmGDuoeQ8uobmIAhySdLz0YUEZGLTt
ct3iP9zhORm3KMDt3ULjE1jwMLbFhG2/0zWBQb8Barmk+ZbyUq2UWx3eioG4xknso6SNhfPsDgc2
NsfOGvQrWpM+0BjKP0HZ5yi6wN90xhu+HXkjkL28xj1VUjJZiXgC6yA2nSZt7tx62XWqcnyvx1eE
ZL54TAFA3oV0UyfJOMTa0Ewo9hdaqsBSQ5tl1mGDfy7SrTG36Y6v2p8dRIT8Qe1MSna2B0R0w/Dn
S4x4A1o83eBQOxFkhkELnIXjWbHJODgqgwBliO9TqEgvGsmOIduBkY3dPcK7OfKyt08u5trVFPlg
h0m9ZcNTQmGaIOgT9xSYJsZUvfa+4st4iFlpsR24y3rgvYIcnP0ca99yc5l3WYObpHPO8cifb51i
P9rzOp8oip1DhgxAOszfc0jdrQj8wOsfv9Ul5oXIZYqMbOvgrHFHWcqqfHT7zgdbMm/1uIQDUdRc
UpHdXM+6s+tz/c2rDdCwcWLgZ22tx1BXkZ87Hjp9Da2PTDAw1N+GlhGds+BitpoEcVOGCQljECmg
mT5s05lFx9ylVYBSxj0o0Fhlpn+27facRCY4YWt6dkfCGEFBdz4JnzaEj7i4eN7wQrLxGFSV8w1/
O2r+EMnjGGUXXfZXjtk1N5Wrn+ISVaVVlhl7HWLURHOXqbAIQkO5fljX35sGlGHsgUK1lr7cm2aP
Ccqak20NEPrMJgqKz9S4yFRxmWQJ1GFDffZm17vM5nwos0JeLTbCnEGf613nZsx4XP7GYlkuDIvj
O0C20Bx5CU1aOBGkiraJzIps1/QW+ZO59bhuwwK7q+OruW6PUVNXGyx/Gr4pOFRIn0Sg8tp+zdLp
0xj2/cGZ4dH1Ouu1KFO7Xu/G/VRM2o61EcOVfPBIwxzuROQAczTN9YuDra3b0O8sLIk5rBSAe1tY
grupjscND7TsKJX2AmY22dTY0wxMSjwL+/7oDgvxA3HcEGYW2geev/EJHCIKW42nHKAL9KGANMgz
1fEoLoa1ixg3gZiqcMmbldxHTvIyDrGF0NK9zF171ab1CqmNvhta5ZyyIgvXUdOyMStb7oh4cbfS
zMXJrVinlQApMWiV4Q5KQRkAqluM4ktGI9o9EZ8YIuJk4EYOyWECq2lW2DBqtxyfOzo+cLAJMs+E
tBquvtwFVNl4MIcdxaaDmwzJsdUahxoT90DUSUXYxJPRUxgjnJznpgUNY7UlT+8UyWc1kmZKIJX1
YJg54x8ycKdiKU6NMbSO5yelizhlUyRZrCmiYKtmaZr/CD3+NTuFSYzAX5XXt2n2xkb87U86qx8f
+qO0Nn9DkIERVEcXhaHXo1z/W2m9SrBs20H78SGY4j/9IfFYdVZrq/473ul/5B1YLKArUbwjG8FT
8e+U1Wyd/tx8I/SiQtc9j0mFjtTg1yzShndoMdmyPpmdNgUG6NiOUSCS8c69t1ShyqPlke+8IWR3
Qf/UkEPyxIKIHADH1pkaTFqDctnPcy8O91qvsWzBppddobSNk7vOLjD7kiT8ai12cVI8d666MdED
b40IYlkc58RNhwgHUw/j1pAU56SqNTQdqiqv2dBUxJrM3MbjMvjRonS41mwJvdchngHiYm9mmtLV
s/1pGCfWOTPRE8zFY0WxVKITMxBXAQaJKjd+G1YAQf/BIiibMo121cp9OjPAVV2007JckHpCvKaa
2HkwYhxvMkVX5OxQcC7VTQmwizfW1DaO7xQzUSUHVM5GM23BeAq8BQVCNtym+Mw83cLSybbpxtUB
D4zUshzPehPPec8oNLQ8QSk/ENbtS7J3xNdxzNpx2aaKqDsiCJC9MxUuePCAOu5Bo0Jc6pnlbwA3
wL6bOl4W2Ua5S20izk8qc/FTe4iYJzdRpSsnBd/Zl0vyztJhbq3U7/KIDOQhwgCwcXRziPZ6OoXN
jZN32lHAzr0jZyrcLOBxNyPOAtjeqjgqTRv2kVXp1Ch2z0aqhYM/yGK8lxnwc9ur5jd8xEjykVz4
czqrIIaqsBvcPD1jgTT2ZWvmYGEZ36fFUHebuijtDbSe9cE+AWgAaJvnRRkgNoluLd0Dd62yKbDN
KA3MzjIoTqLyANs8vG/yMX8JC60DhERA9mbRhuo2S+wnAIvRvcHS5Q6UonNPQzC8qtydAuhfoHAr
Nd1zPZRsRsv4mQI4vMv0csYFWWkEavXw3EP2WQFQQ+fG89LwWVWTcZiUrd1qzFyoYBrN2w1OY5xD
O8wI8dDihRKT1umZra21QTNgP9W2LB7Z3gNQZ/gasV5KoFP6rCmdyS+ZYh0LSlt4Th3MaNA/3XGc
wPONWRo9G1VpXHkL/lGoXNZ4YTRDM+lWpFfQojTZdzmadrYxnIVtHdvTgpynkqR1pJt3xHo5x2a0
Lgka+DbpTQNz7+ScJRKUaJPES0aIY9MPt2h99CvoGuXBNNledMnMue6ztrlXmV08NzAG9wPkzC+j
rl5kDb+py1z3xJnOt3MFYXluK2hmqJjuQ7tVJ+ikzSWSxvKpZ2sNBHec9K9J2YgrbSnYotW14ZzG
bPJ2ZlJ9wzgTHqQl6i1OZkbTgBgfvdTtPwk7yV7mdIlfjLGLV7qBm77UaDtx5nOH2VrX7Jmu6lvP
GbtdXOG4LzGC5y51LwseODVeYZ3GCcYoQ22UL6i6PQ1MDy/MxUKsuWHmEd8VBHjhA6imhqz51OAq
ZvKtYMdlm7jT2gBI/Lwtxx5iTohbmePS4a/NVkS9oCFux1MpvCLAlas/m45m3HZa8xQvzWNSac77
ZEFroNwcBIPzkYQbX68WWsMmMa9y1CJn0dHx20kbBk4cHT2zda7nsam5Nfr2ccGiHKD0KL/avQBY
Oi7lHaXe8qVm9lpvpAbH38vHCjd6ZD4RWw77sYZjSytdA9BcvOiacU7/2oG5LHAB+yjUYAin9Oh+
MjWnnjjxN2rG+FsG3d5vh/qs96SGWPY4BWro8feyCTgYmsO+aRrH+fyRUmtC5YTGTH/EHWcqcSPR
oOyaUmpsloRb3qdoztjrdJINxLqUH9oY3RBSKdQaCq7PdNBVNz2U4zqnT6PReBw64uvSMWdb0cer
aOIjtBn3y/xgaiH7RnZ5bz1quivPDtl5zN2q+cPcPN1FxPcgWHMVHoPRZL28SjNIk2tvHBaa8ybq
wVxJgxUce008KrnLDrKa0QFqMGhuQNukXKJW6Xdi+golvXiQdCVH4uxbnx/KmilBuc5e1NuzFJzO
WqeDVXcr96tZNtb3UjPfoQ3qZ4lZAh9znc/EIlOiM0rnJscCjB/dvfaMND1j07WTTbJ8VQLjYC2y
EuHd9FSK5hHGDeMF2Sifvh+CFb3sLsaUtxfx4t3Xsim3mq3jkTbbsT1EGhD5dIhgsMYhvU8jEf9a
tPmsxHbc718TWu+HWm9HX8HfvkSO5Amimuo0JrSyTRNa2bVVYkSy2mK4LkmdP8AnJI/Dzu1ub6I1
uOfKzYNCeONdzKbovZ7obDc62XmUPab7HNmheeIb4iDCG++XFsMhOjMrv8tDDaC7PpdHWXS6L1ox
BSB147PW4E23i6Lcd/3UB2Y/da/4xMHkuWWB2Tz93LXyS1KD8V94PZ4JD4n6jd2O6s50a/qWtoSw
mCvdn42p/S6NId32cu4fEwzt2w/1Sxm56c5EZ0LakRY+UkC3N7Zwuv3oMUmZWyAIuIUMuU0Wb82+
0ZlqAVrVjiPihBgIv1WQECPM7DNkvX4XjW76TpiQ3BIQwXl13c/Kzb41adweYXatIo8Ul47Fv4WW
421mADAHnJriKFhCBShT9R26L3mGN5B89RIXdlemtH1nFRjd2zC7T7rMYNOfxLuqS2pCjCII/xgO
D4ZZroxDKi+Nhnyf6mq4igkO5D6amAB1UtMCwf7bn6py2BpOW3ztrDEmhwYRS4+To5+VfRgHg4AN
63oxx+pQmHmKGMPTd6W0vtaiuu9hNG4KpjM+4JI9j2gNyIr2ScaQHJWiDYuBbW7sDBxBKsobp2ru
HUEEQlsDk8rhwGARD4QqHlwcIyc2tNGugOeyqZn8buy4QOum1KldsmgXmtm1kWvag9dO4z6ze+9g
zgnreiO/19LijvW22nU5ARULMHrfzuZ7b+hlkMZptm87WOHdUhWBGZW0jarHATMYsMQ1x7jVOvQl
PNudC3l78QGsLtIaS36rQ1vb0i7nmxjlwQZRqMWLLIV0zgblfmTQ/TXOZ7bmGpcfrPiDPQ3Fva0B
eiASUG0GqweJ5VX9ccobDw9sROcbL+4phxWbxdZn4JdP/1lV/EuieQeXyV/1Ug+qfP/2X8c2eyve
/9RP/fjgH5J5+ZtcuyWCUj1E6R8W9N/7KUf+Bn7RZLLj/ALA1X/jEzhS1k08ThcdmfvvHZXJj0Nn
tSrlqZj+nW4KAcSfuyl8zrjihcnIkoUFu49fVqw1SOQm98Bcatyqm2RWJWUOzwY0Uh7yEt36NObD
cA2aD4VMX33KImstwJ0bvewziv1FpUFF0cxdkRfM1sSzFYqIN1lGtFhpjmSd02IdG3Qyvjlrzo41
94jw2bmpsoFghEmSiDk2b56RX9sj96I2IteswqBj54xKkEBF6Ifuhpbsey/6+L/ZO5PmuI10a/+V
G98eDiRmLO6m5oFjcRClDYJNS5inRAJI4Nd/D+i2Q6J9peh996ZtdVPFQqGQ73DOc26YlWFC8xsW
GlXN0NKAYK3hSa9IWj/XoXnniY5RoxxfMdHplZsziXGmnKYr/dYVWb4p7XjaokS68W29H9myo1uu
voV5dT2K4RJpF8haStyWlV/DfLlzsunMZIhOJTPQCKavU6PqTd3Oby7PlmIQb7XvvbRTt+MhWKwl
4SCfotY5kJfG6pf4q23dAS+sSPMRyn7Jh+LVR/uxM+PxYsr8erkCquyDDQ61b1mzqHNZTOzsArQ+
GkS0YstYahiHx9geL0vruw4YOR9lEb4B4gv3InEO6CLPOcbJ41yw9jbGjgtjmhDt05O1qCF1rh89
ipaxcV4SOz/FuniVbfaKduWGvAQqF8/ptg5vaHTSb4S13DkFn9Vkqx24EnRUTn5iQo7dmbAP5jrU
oqQvIIRMJKQdIjNXaAqSbZovSRXGknLfwCOPjeVaJuUrp+GIIQk9mGL9sl5eq3H4P5Bmezd25p2y
xn2fzGcRMJ43BvPc+MBShzz5ZuNK2roivc5zfbb4cA5BzYomS3mHtTM9z5Hi5FFewTySLD3yBBnP
pUG2SUJnvpKkdtLKPEunjSie9WNpuhs9VeO6SiRe1jp9rRCsbAtLvwX1fB4IHyWxQxJq1fovqTb/
FbT2bYjvee0R+jmBTp5dFLWtHh7n1j1gXGCXI+1DzPRstcTkrXOFZbTv5zOi7GQ7jnyeLB3tE16L
EBS/oqW0ShsNt/lcxeItpInAXgDEVYF4olZ7bGX/6OjiW2lm0xr2D6yvUj/akUhwTauGCqZG7O0Z
yZpAZCq+5bqLyqMTdF7qtsp2yHtuGtfxObX4Od4nIwDGuKPtvaAmnDhNuB0NoW8aCuUvWUQWCSb5
aUNhMtzbmBc2hY4jKkbK9glC6aEl7OrU1u5w7EovOOrBwEyaTAVxDk0JdrOZdiZE21OZECNjGYX9
pkT3ZRqkdyUC1CPcNXXKSk7SwWabsGztjZ/P42vk15hs6f8Lb585bfWcV9FzqencN7NDXtwKv8Ra
J9ENlNMvdE7DOtcFyxxvAkubbho1SXD2OiGV2PMoYFMU5qegVtnK89ubwkjuqhqIDMyY59qgpkQ7
SjnWu6+6mkgSqywycAi43BYeu1efwIJmDr1dyaG8oUqM7tgo4f6tuP3nzHqrRd0gJihZhA4mwVmW
2Nk+BzS/RbTqQZOuWgYjG41w9xZoRr/XFjfdlPsvvuHBPm3HYzTIb8Yoz46Xn747dP5BqLTIsr4X
pAQLFhD0B5qUZcL2UbaVZiReZiMJPs5A2gyCNoUIXd+kbns9R8L7hc7jo8FqebWQA83G4egIslP5
bb4Tn4TO2FfehGeRGKx6gyf7ZJEUD12LB/rP39dHoQ2vtPAEaZdN08Kh+eGVRt/XdhY19cFS+Wu4
GP2Xx3EGYWpNtldHKY8Yb/fz1/xxbQ9WZHnNAPSxHQgso/4HCVxsV2ESdBHuaEIuGGkPjwSWFFCV
CPoy3GK9vF9sO2fZ8XT7+Uv/TX73/tohoqdFiCWQGP14ZRGCjXM2BdWhA6CxyWgK76bIS5bHxZlI
hvxghvpt7IgfykeQhtlAfqoEZ7eSyfSWQJWJq/ncx8ig2CwcQmxk6wysJ0kVJCHx+GZGS4gki5u2
zq4rT+IKGC66jJ9NN0Fapp2bPoDKCGA83MO7bz7HdA5rJ+Dx8PN3+g+3kO0I5BnCE6ZrWR8+WKtI
w7K2HIQMFtFbtXlnhvNdOTM9+MXrfJSQLVcU7cWSLYB+Agvij1c0HEWg+R+5V0M8eoSY3E20EVuz
4CFceWG2QTx4rWJR3hfDdOcrs7xnSQR4bI6/tQPP5aVUyXIKCGHpc2xAlgvH/tEIvRuQ4XvY80Aj
m7RcxzHYqVZb+iV2rWlfxlaD+GmCiWVKAqxz/awlx35vpc4JfUbJOknhFqrSb1HKyr3Ki3fofr0n
/OZbVM/PQdzvZtVxeDf2AfXSAX8C0YHEKi5evjPLxmJt9fOdPxHmjqxZwKA0vkiX9bgvqLF+fiH/
4QnDZH9B7piBj6rmwwc204y0Duahwzzi0aCc0DzZmLR66GHtw89fiwr749MMERnnFEsgP3Q/ituk
NaVoqacK1fdwARByKutfPTDfv0kfnpg4WyyHbYWwQoClP94X8E1yVZgmvutwaHZdSrSPE81vy5Oe
rdy0VzI65ZZzCA3rZoxCYnWr4sR49VOXZf8igqxaWahaWONl9oG8bw7ZkKdTM5XXQsTfZm8EWRal
+aGwvXmVsVBkKjR3V0XqbdHkPAWKP/bYmR2dCaVHgSFoJYQNfwYhxc6SFlFjYWvte42hwbTSby6z
QiDu+fWgc6BA8bQOvIwCVYxUv8CCqood/GCqS11ZyRYl0fkXn8k/fGP5LJDAAusyYWVZP16wymog
eExldRAFjcKQEIueqp4KHi38tUi4AinlFqKW4KZ0vWYddRJWpChvVca9HOWYJ0Bx7sZoHlcK9eIG
xffLmDX2BiMuA9bBuyE8GuFA5JK0amUMGHkSNQiQN342PZvW+DZ35ooc5wdUx1RVLW9YGpr8B/N5
ohAjLCdp9nYBIrsZL7Hr9auMCTZ7Uh58nTeADDKgDJZREe4td34OGzn8sXL8P+XT//Al4cxY/iNs
Rgkf9apj3KLmGofqMCJep8RBMj3y6zhmv4qa+BefCKyrv39PFjAZjzUMvoux+sePpHXsCWVoT9CV
1VVb4SHMCqLsFHFShYLPB3c+M+WJBmmweExlGRVgXCCVpwAkxMtb1RWUpxSNxzb0ZsYRyxC5mgKy
ccAADcFtESJfSUKqfV3V9sZuurcymy+6mM6lvxzG3Gaxnb9G41KlQsrPZvO67aHc6NpaU65uB5UF
ZCa7N+/t5exoe8PGiNQFKNmMyvmJZhx2TdQrsohUctSYNd+boKgiyXJUmJWrfnxMFY1kkMc9VBVa
PXceH6WKMVo4UCvt4dHKxR2+v5NtU60J4pNRhk+sPJC8lPxJNCw3ZNMPhHjIbrt8jTrt3tT++OjF
SwPh5gbfJ1KRipZqyYyya83IdcNgqdtKw31pM/I3K7Kfr0JXv0mlNiNmBBTd6XVq07OEmlLcKZyX
LBmwhToEldcuMSvlCcLQaS7bluwhvsBKFSea4n0ZcbKk8cCNybfDG9V1IdwvSTdWp1y4DKaHjW3J
ab00RmxdwMdDxjkHVPaFcl4sxGG/OI+9f/h6U+u4LPJcVrj2xxAcRCJZi7mrPHT+9Ibe6dKZnHsD
bRZ5ldlmqb/eW+1ahWKnQiq99+98lajdNBKx1Wb8WFvagN4rQjiQAAaDtH2SwmJcilZQbUPdT4dC
dAYNWo7cKHbSLUia+A2DeHiNoSchW4tzkREXwlye5evZB/Nr8IzJ1PQ82JRbprSbNeuRfq1jMnKL
gMo6pjHkPExs1EtZTJntZ/2jwn+8QiF4IcJDoV0qroe+vzguHtu68PQ2laDM2nE+l8mIgbwkQFgY
M6KX6c3r5mYnsa74dAdoIL2bgUOEJrN/tD2MB1Tzyv/zfP2vGPhXYmAoDT9VK9x9raqFvPxapT8q
Fv74wT8nbA64RnAPPrUcSRX801+KhcD8jTwAIUL8hkBZaLb/UiwAeeSPPJzPfwod/pqx2eFvlOB0
UyLgWb7ALP6TOZv13hP9UG/4jrOgJE3LgVoICfLHZzXlZjeXjYkE0V8eTf0SvU766gKyjjQdPSee
sBElwHzajcoDG2x1Uh7ZGQhzN7dQY9ZJYdKrt50qXMYbLkrQjici9f9bw57qdvQ8HssTPSjjKy1W
cwlbbkXUUIe5aXI2s1egEjXsThhbpGUcmGzR2FPi0Jr3y86JleokT1PWJjf4YUzmz/P8FFkGJlMH
/MRWhmaTbVGWtKShSKKkTYoVtIva9F/nzPYgSwkEpquaMSjjniZk1tYjnyR3/ZASW/zVoDR6G2cj
vdb8zIs71VmPriJ0rpKyiDIe3B0nJf6Ujh2aG+N+M0b3Dn9DcR7sMLtN60RdD2OHjDnK5nVkMrxf
1WrQ24BJGDy5OBvYHEHt1mxJVob0cPii82Ab2UQmJADXfgoklxniGNa93krME9lS/bYibg6pZBtv
rZAr76SOOI1zWN4pw/Z2lGrlvTkX9V3WB/KWeGzHWrE5rU4oVJp1FszROh8Tf0edaar1EpNEBlFs
biffYzUrQRNmZEOZn6ATqau+dl46N1YPAhZXsA9kRASwBamgwYcY5Htige1nXeTWDmRYsMf3nen1
MEfRNZYNYIS2ydS1rmZCUYbu4nt1kG09L3JPTE7Nbx1F1tYpxcUf7sqwqDbdSAwNqOk7pwfBhYrV
sheHSP952bc/4UDXt0OXueuwhKbYBWrtljng4kSVe7vSxQl/S3SFzK26d9kJX8Pz+pSy3N9gYMs3
k9dPJMXH0cPUuy3Z6pwfo1muzVqodZ5n2SXqW/O2Nzp/E8FkOMYesaqZHWyJaGYH2Jv1JprrMkV9
XkeHLIzcXe+V+TcMZ28iCg0myOAqVokqxIWbnOQLrdtjR1m5wrEP+RgOKOhpy0Gj697X3G1r5uxn
GH3Jqgxab2Mk3csMrYVcZKJtE8sTK3cK+C27xF3HPbMp0YuUMW5ivOBoiY9NkbQXt2ia6wmb3MnH
wr7JjIRoN6GHdeFIwCFDy33DbUvp7U3WvpkAPvbU35vMdBDANB7y60C4OPZG5a6IBHLqeO855RSL
pyAqdLoDJjoiA3XF7DDtysYkToLL6BEA3Kwng/jVB8vK3fHBRSvsOisX87F4FlDes63pZunZk6Z/
jzU9Sj5pZy6ZOIqssHdVWGOTInR84vWH9Ab0qvUpRK1hrgoSiYe1RMMJBVPU1DTgAavsOC4MqlWB
9oZ3A9nAqfYSz+nwMKSpMz4oSI0sUOPYyOyb3DaH7HOeKzlXGwKtKur2xKVDnRoyNTdDZ2mebH0a
x59LQaXJKFWkfD5GXXJ7Mvk1t3qaRZysRKoXFew4+fEGgWgQbCkdVB4zcwmcz31djerNz0ORe5+5
RmE/rIpe1adUVTaKkirKlc1/eeTQEB3nIvZKiAmNHquc2Ky12doW5H0lEcmAcdDb907ovyf1L05q
HFWC6clfXNu/2XYe6h6A1N9tO//+wT+1hd5vrJqwmTKYceHdLhOZv7SFzm+0/YHNN8vx/yBL/Vtb
6ODNceClBICdmOP4lK9/LsOs35xgOag9G7emKcBR/Qf0KMtemqbvDmrCUjj2AVgxmOJxzRDux4M6
NNHKRlFrnB1HDPew3kqSzKR7LIs53/oNYWnmPFgXu/CGPeTxeSuGKTwGIkg2cDjGR8K4yrPdQToD
oRFQP5qkMONvqdZAJCB4gtcnWCq+xEx1HLYFBAFLVmMOdIs+vxsBdKB4jln/s1pfEU1JpHK3dDnl
Qm90clifrVNYD6oiDKhprCWiLS5vnHHoHiubXOEO2txmQjX4u2n0ACXsJwaH3+wGNZ8f9fdTOKlL
BhF1344Ef5Gf3ZeXNJv7E34R8KY+WsqVbsucAImZJ1pR6atp9PxjGRNQlmWzAngZhTvV9faaWIzZ
28RczhvpGZbGaU8Q5aA1FGhft8yEJ7OaDjOW563ZOBHCpNa9MmVwKArr0pjAlG36iWviQM5VpEv6
RpRecQC0Ik+giIIRiHYKlsSaG6beEhooV22cs+tDlIgqiuDZSpXnWTn5zncN/1TS464j0idXveM3
O22RIHfQFQhp6gLciHkxP7Ru1W7GKXkO0aM9sWD0jtrxh8+VqAlR61pQNpNdRzeNnCxzW9RJKqm6
YNqa56GK7Pmhkohm+m061oHxBtlL8BjEJW3MnF1dhuu8IphmjZsCaAa8elSEqE+xy9pVQDoaIAtk
4EjtVhL+Lq0gdd6BzoxAtrKq6AqxfN7qslIXg2mkItbCKBNF2n1nDyyJUvfKzyVpmUKn+dbIZ+b9
uGXKgu2sk98YE9E6Bl2v1jjO6j901fW/Zdb5H6pr/qJFg938ocj2o0p56LMXrbac33XbYVeni4xb
qlpm432k8nJftXXgx7dI+oZh3IURD9x578yNVCgnJmvynkaz78wHY5g8lODkkhRliE+HCtDamUz6
dAoGzauJWL0eU9zc7Q6BfQV4tDDFJwAs+n5EbFSupqyCa4EBLqvXuRHrTQq/PVobfccCDTO28Zzk
LpxUa/aRNCmv1Ne5gLqO0qL93Z3jdmY5a0WXCkELGTq+2za4bZrkOXKrvLwxsskSa4KEiCkfRm/Y
secciZpuE3Y5mNUrCmCRHOoKKxNKRTte4+iYHmSUYFBBW0OYF+GUqOZaz/7SJo61KeIyvm2Tqb31
CFncApejRU0QnRLr05jXs9kthNOWs4+0g0M6Vc2d18nqGZcKwAW/FeS7Izmh5qWLkUcry8gdDCCr
BI1vMOvolI9qX2l3A0JHYVCFAMNHjvdnmSuqCQbOQr01O3XpB7+6a4Mm3vuts0rE4N6G2RA/RgUN
clMAvcWtEM9/GG//eyD+6kDE6MwU9P8+EJ+/Sipx9b0uZDFH8zN/dq3iN4zttJe2Kf7oTf86C30b
Cb5DSCjBXO+n2nddq/vbckZZzGuQh3w8DH1WcxyR6O1ZrDj+f3IYLj3pd0ehRZAA00yIqQyEaF/N
Dz0rJWQ/g79g5x4wGCwTorcZsNi/2CwsG5jvXgWBi2BDA5OKKGfsAx8nT1E/EKQISv3QZxVc+MEM
CaXRUf2lorO7Kz2M/cVM6NemntWvPOPLtf/bi6OnZajNZfO52D+e9olXADnMsYrGTlhziMhu5PwS
vK5r5peMrvg1DssmXHVVam+6eUq/aoOnxNaTnr0ppEDV3MMEUwMrQrs12lO/pEN1QcbiPyuwF7Ef
brZdHM+kNPvRpQTPvfnuprr741L9T9WXd3Vaqe5//98/vgkM0DgimN5xIy1X+Lt9rCmdBrX+HB4A
uVhb7dTzrjSgpKX+OD21FO3rSOQA+4ySHbow3yFjCE5gWwIEUmmo77zKguTYBcHKHLDuh2EyI4rP
C7Jrh3wXgAN7LNOeUV81s143iGPb//w9/G38yE0Q+F6InSNgmvZxH9iBOuknfwwh4zbjRtJtr/Qg
p71P7fLzV/rbjH55JRikLHoh9TIr+vFiuUgv8S3zSgMmXfoNQHPKC9qTVHZ7b7oMc3/+eh++RO+3
d4jNHO+Lw022QJC//3As0VUV+mFeL07lPU+HbjX38a+IFP9w/RygqxjhA3bX9kf2QSh5XBSjEbAK
ADYRcNUaO0wPeRc8/vztvLMtPnxdXYsD1eeLZ//9oZCBhQlH7sEDG0coPn7H2UNe5H6a+OCm0gY9
LBIGL5go8ss0wEltCg9zRCaiS9Kzni5dt72X00Ky8wb4yI1Y9NcDwvxDDIP9hD9w2qfcm09DjG2F
tBSTnOk4G3GYODEvopsFKh4gqewsr/s0enN6+PmbtN9XJz+8S2aC7NsY4CxJKqH7oQuIrKhAkCT1
YUSVuyKZj7HyQgo3FmZ4nUMP98CI60LCE1/I4ty82QH+OqZGsXDHGwjk2NaBkdOybkjuZfpj5emN
G07OF3+EXk4BwUxhtB4EihhgOPCa1hK7xiNpbCGJ3cD61UJDT+LK2lQLIR0DECHH8RceZ/nBU1DU
495iy7CQ1TldkkMJwX5rx156wFIwoX2GxQ5TVuw7uw4eEVdnx8wAIVOJloqSsc1bQju1LpmYHcHl
w6eHGUVm88J+Z3pSoEpFwNwMloNkq+nXXu+Bi1cCh0uOH+lZAZMvFqp8tfDlXdw1v0/Yd1iKQp/H
om/v3cgBSZ95aKPnvGEcsxDrXQyrjzRS5Ses+fm3RiQ1Lk8znAiKJkQPd35t2uymEv3iQ37c+Asb
nwyf4phN8PLnNvRuvYWhr4J0QWqX6XhLvkT7L+yEsBbB7hsawmACiN9YiPwGtRwC3ZSq1JensmRQ
CWOhxZMSLmKm6qaOGmiUmqHDKl64/wYOYEadV8v13BC0SBm5pAR0S16AIMPCTZhvIjwyjwS1lFfO
ki9gvEcNiNKcb0RvYAKYlqrM5HxZZ0s+Aaqt4NjPjv0qcaPcwfTvqqMye1oLvwNJ4uwwkHFHLLkH
fWvbr/WShZAnFhTNRmMYra1KPlUQDdY1yXR8NJq4+CVTYSRcIUnseysi24Rn23BU8CFXkwH+GF2I
9bst+cylJ5r7SRbXaUQCEayrHHdV0W/6JdkhKRXUb9M8NRbEVDN2HMBtOn6osvg6ir0vyZIRkShl
XqIlNyKT3ifsx68WDctmlB2RY0vKhIL6uLOlFFe+7kfcZaRREARNLgWY3lWfwYJUS2oFybUJjyiS
LET5LvGu9dnAfbfPsfQw/iL7wlhSMJolDwPzqbMmdwaqHNysgZtrAHrBMYSxPA48Vo1jCvkmJmVD
dp1xdue6vlJLBofU7vSaIS8EEtf59AfvcR2mlTW3MwNCHlOdoOGdhHNMmHQexJL24dd8XTwDqEIO
0sDCer+18Bfh+yYolwVltNZmVr3JwYlfMtzkv3t+N73YgxxPZRAMx3wIwXlAFLhCtN4A782jNYLY
4dgLvl/GlGMJKaYptnGg+52ANRz6M0lsrQcf0IxL3ImzfnIG8jWBqidHM0d47xQ12QwTa2xYZele
eG11leoatLzJ6A9iBh7EqscOnpJJfAobJrNe3U97wws6zLxmTgrIMH0blBzrG7jwxSZqKArmYTJX
srYQ8OI32KQxJ4eYo2BlmX2zNYfR2vKO5cn36MdHSG0bBuYT3bbZfZrD0bm1+KLeTCTH9Js8ggbH
zL8evooMh3lYmPNhyjL5lvhQ5Lw69Z+J16muKtRrj4ZJfVHUTUL69Uh1MlDyEZpnroARZPx20Ipb
RppQ5TUBOpcidtqXLLPzTW7O4yY1qAsNt5n2RS7sIwPufNfgqXmuVVcc29Ttfp+NxMR5Du8xk7xJ
AkTma6+oo9OMLPQwTXZzYydzdPIJY9/DE8bXCGQmR3FVNdtQDrxzbJW3C+Nj4/Y2UEdFoLkDxuV2
9puow1808zNWWHSfYs9bPN02vwmsbHM/DIq3ZHgLqoF2OSYeMnO3jGbcW8GDgSzqLt03ypoPJkTs
dej30YlaxV03kReCginkafC4X4WdTN+ogYfnFELc1q6t9pSxKMNX5zrWXphlu8de6J4JRzIuEy8A
VgmrNxRnH8qyOyXuF4hz2ElQkKmL6cPxilgYXaQJ0k/6iXgxAxd7OcwBf2jrfZdZaDOoF+2zq01c
RTwUBNuIG8wazq5JyOUtcyarQ5Elu9qOEoC1/aOIFleiUilS69Hdgiq8k1EVDqs8iYe9bIYp2XP5
/fxN4pZJrmRXtgN3M9pKOIwYoVQpzY1k3c2eISoZNjt6IpoH56iT3OjR0uV8fD/e/9uw/rJhBdfy
XSX0twnucyrj9MOe1Xbff+jPjtX9zXLI3/CW/LVlzUpb+u/pbWD/5vm+A84bGQGV9ffw/5DIABe9
n2nankf1iObyT3c4FCcbqeVSTwaWhaP0P+lY/eX1f2zoeHmbltVjsuMy9lnK8e96IQI3CTti0ULP
OlVANIY64GSDfTtXUwvgw2YME32ZqgBAbr+wcnnWxWsHbsgZVlp/Y9cwiXgC2DvXj0S0legK75KF
visXDm9dAcABABIc20g9RpzCwXrq21fTbnKZbiQX+An7bfVsKbQCTTlyzgyWIX93owp+eELh7xCG
+ko0/UILtDr31W6o+lZL9/CsvNr4mmtfP3Hglfpr6NOeZ6e0c8abpPa3EjlOEOvsbDLRCvbeEFWP
qE3wC6xio0e8qXCU8JSujUfDcdnwzgkpqU3Aoe5TuK66ctFh+5atb4TUxaLIDr4UeRHAh6GD5bLU
lnVAPBhjahf9Grc5U2aW5/U2CkYc1KIlGgqKxL+ccq7OHBjssILZ2bgg919khgrJFZFDmccjsYjs
8dmymHwC8BdUmMCYmEiWzR1WUdPfQ3VxjiYF2Gce2xzhrPaemGIlWKswqcGQGFr/uelSoo59TwOR
m+XMqkpnEfzMKFxEmlSTyrptUxvknuF64lG2AXlLjbMkARRj89mJneCKrlM86tFerjIPu3iVLFzt
MGdUs3pnapJXyGFaNC5/vbILuhG5gN4728Z96qsO2ordVFDpA7pHmPVJCJ7RkC3c7rHq67OQwDzW
7/9YsIdjM90wHlghhOL/NyUlP+PaKMGvmgXwbYW4j9euKklEcAIQmW7vBVdqcJbVXRJD1XzPbwjI
S+8XzVH4TEHJ6lMGC5A0lI6A1uLyNsp+QBhEJNi8x2APxHzBYDcaWvHeUYEkyU938zmsGHOvppIg
BeIBQWRmTG2XAAYuitVKJzurfAZtbgQTv8CIZzbeskjn6pZDRIACvQqy4mjAdelOJD5vAtiVJKH6
tWfdRMOCU+8Ulp+jagYQmXGdqd+BomIyxSPNZFMvfy3R4EAZiywDnImNDn3TyjMW0LgTVPz12lve
fMBsYV5B++QKylHzJ3PL8Ocd+K6ptmHFd0yAWNgba8cATr2Kesu8C6AIXb2/ouf3EEYHA4Y+3RT3
JrG3XN9shLQ/yhzUKpunGGTaaA3znkLVeTWpwwE6EzR39kzZfG4t6jTgWloe4jRznft3HH1uMx4+
QlNEDhZ5PTj/1sL7sYrtgrc1UfldgYT0PjkKk/rz+28ZFHT5h2ICyLJm/cAvCxGKu8xAiXITSuhI
uFI7CAkdUlFSNhbQ0oNCwk97WSwfKUuV5Zpkk9ndKKhiOIxJIJhkzb+H08JB/SM7wahpvvN6iTqg
kUz3/ljwhPIzsKFgYcS0SyHIfpvnJU8h84zlnhIWDt/YNYJyX/fDWJ99Uep+nTS5Bkyaq3GjQsqT
DhXrxVxCPYZsaj7jdmDlY9a9CLhPq5KwLCdsrlRAR9K4wbRyLaMdVp3FnL4vq5igBol2GptrdM7C
KXzmw/SSzSKSueA3YZJNYH3zWTl9F+38zNK4rUMQdGNQ7maMb2tziF1qd9W9ZQaqHtReJFIUYaEf
As8o174lubEtOUreDBfgymNOwLsr89rGrOnCA1ajLOyNG1bYvrlkA3mltPqHkTCot7bJGImJqg7s
LdmaOLytLneOMQnqR7taru+E9+RZ+j5PEDJ/B16wHG9H4TpbeBQW3aRC1YvJQ4SrkhHc0SYtHHVZ
kCQkKE3xfSWa6lIMtYdcNi+yeuXTzj2F70Q3yumvjl/apwhf2iEDY/Z74frvom/t72B6ZFet9NKv
Nn7fR3wr0xH2KlwDRoprljNPmNHkM719tyHrUdVYu0l/wF2OL0sbxZWgmeXPdLUzg3LaVkTXfwUh
D32MnKfujGrCXzi6/uSQShPZn+EQdGc1UjhiKPIFjSrOtNKFCuKC/qVu1IrCL41m/8qNW5Z9svyK
ljBxtnNAy7rSU0t+h9LBDUOoC2R5yHWMKlnQ5cHQiasC2Gh7T/ebHJnvMi319G4GoL7p2ry5xk5S
r3Kjj+6qgWhl8tow/xpNfxFV9WLHI94dFXZzvB/61L5q8sq0nqLGrp/HpJAPxejcJe7QXsgohwYb
d4IuVfgPlQ+pH5+/Cm5bVM1IkAq6mhjVcWyN+uxEweMcW96nnvXVvoaIIPfuWNVLyCCrksMgdbjN
7fGgG5JU+8a667q4xojeJGTkEUxNSsYMRCQikPW+S+p6qy2ffWEmBaJOW4JQHACnbYvRrOBRRcn4
JWp0WayF07vZziz7vjzAnSF7zxBOsaXIrteBNtWjVeXB59RiE81RCNurz5yemAijOQ6ezV1N/MkX
zfF+hmLS3yjL/DLKoL1umE6rlRh144F7idRVR0LjZmAo+TChfD5POhP3ufDUtwESxpcpjOv2VSuz
GO5BtEVwYqG7HeMir9ZNK1+saY7uk0REmxzB8IpSUF8NCvFUwaZqAOl06jvbuJVSeVuCJGImDn75
FfmzvmrnlKB6d7LugawPn4PUizZxSUBn2ITuLbMB/PZ5BaIL5Jzf3PhGlF+T1WFVGxRBxr2T1+7G
d/pxy+XyV4Pj6VPTldUXJtDOGlfKU9Q35ik35bPiSNyCKHchiZifBbC7bMy6K2NynZdxjG3W0Pkk
1yLqxDYykuTcxbRwNsOH696Xh6Bn5JP7Fup9U9Be+3WjnasxUQ7vMKC/Swgw28SN1SsOP4PwIG4V
E1ZPOQZ4kgrxKcocCIeFVyI2pUlnhETvTeDuRjQD94HVOPBDaOtiO4zmDX0sTg+PI3yH2sEkycBq
7Psgdry7IJTqoZYOMW6ywlVFxgsSqlnD+lKQEGTurpo+fvLMllU5qBrQERoaO0ONXajK8iHNYFGs
MsqPnQVAEh9akeGyNLWx6pXntqupS5I7nIYkLtjm9GhKOZynzjY/IfbhAQW25pon0ECGAuiJjSrD
e1uZw76p+oR/tZzmbJdze0ncshjWU9WNW2Q6KZORsRan3sn6+zT1aOQi7xgg+r6CVzQ9EXyEzNwt
++ekTxiYlExDXAG4J9ZD/DQ0IaKETiOCaDv75DWlPmgzxp2PA2vHtJHPQbGBJg6lxB+0Dvwey9KU
Jy7fhFKhtNIkB6N25HQskKmvWr8s9s0IBqIJeeMD9JSHKKv9XafbKGPAIsZDQODWBpIByKGIdE0t
BVhxCI8rdJCIJKe4O2MsdRjQJFN/1tKpdxCmtb3jZ/S1X0LNWPs8b37P2t77xqhzxPbqufMhCVXx
1vg+mTMyjLbFUlqRhUfq5DAxOwIFScboElqcGi04ympI10Ef9NdjI6xNRHDBGj3AAHHSt86Avoeb
mZQw+4nzDYNShcFuWCNlLO8yldok+Lj1BWNo7F0KGEiENBihXKG2pyyoRudfOY66eBdCteALZFIL
5p7ISf/SD/FQ/H/2zmy5UWQJw6/SMfdSIHYuZiKO7W7vS9ue8XTfKLDECCTEjiT09OcrEG6B5aUb
RYzjxOHONk6qkiKrMvPPP1cX9L9MPxcQta4Op6k5/JpyDLiEgy7C8hbK5G9jvoDkaK0QvB2q1rcJ
cNXb9ZBqDULh7pd4lhcXWqppV3HgQk5nxXHvKA+1/EwJ/ex8NYiLYzPwVjcDLUvv3eX8LF7G55G5
Xh3FlhzTTDRMRzrW8niRxckZaerhcTIx/+KgtvxCSOYI7iL1KyErnz6ui9kMaCc1av4ZhF5U4XrW
GvKHpZpE00NyBeGUOlF9fZsrUvS4ms196DMs2V8cRHTsOVCCHIUow/XFLE9681GxWKU3PatYX/cI
71PlHnla/mhmEQHpIpgZB4mXq0P5GNis0jsdrijpchXjNhz4DxHdatzzwI+N4YUSSHa2tKLLFaCC
A+qN4/wUlu+hKBUt6NQ8m7rGrQWenu6HtE2hGh0YaDC8CSPYpjSQEAnFW1q0fFiLfiuqkpgT44aK
sfiG3e80q3qzbHnyO7KE7TwUOShNB3llAlmivLBdWjjjsETgWQpPNAKAOB3elGNiDvpiUkVXXiyC
aedzyweBmGZHAMolt7ORZsJhPvZ5kO8SjsdPnYPpD2LOarwG0ShJNOWbwBivH6wxuBUY4SeeTm7P
tAB1qxDFgYJu+v9RrxgYdCgPoYyP5Ht9Sd2IB4c/Rwk/OQnhfqPUPTM4D/aWc07wr+t40K7Iscgk
q7JEfSx88wDOW8nF5VTrgT5KYAAbREiny1auXhqzmLZr0xQPijw4k1+oBRXyE0H7LyVBjg8QTAyf
FPRq8Ea2rp3shNFBI60OTR4wAhWwXVMbULvmBRio5MRIEvV0qRB+0DxXvl8XtP6zksGbadx2HhJe
bSj5NBnAgESNWLtKzHeB/2hSGp4EUJNcZC7+GtTCLINeBmUnnBEjUOyqekWJag4rBEn0YXEIIt2d
X061Ke2gylYRBLjV5HqeiFaIPZ0eXAmkKH8tXHpkLWYhK0ldB0PO6nM9HUt07bGI4tB99E7WRX/E
eEWzDi/P8S2iqWZTuL7M7lLYNFLqKQf0wzkMdGpgvtPsFEof6qTx0idDjcZrykT0a2KbuJ8bCq24
/CIdYyeCf8z1IrhTIMGBXypOuZ8MdvRNmkOTRLtooMViw5Twqonwfl0Dr06/WFO8xWNzQjvEghuT
azWM6GaVuAPKT9KBSRM+EQApG339P7z5HrIWyFVk8rQv43EeCqDkwaSBx6n+ZxPdLHnjNRjbdYkX
iJNAsr7Gpg4G9BemtkR5AqD+gKZKpCIUqu8NSOXLuGeNTZX61AIaAn4G8wonxp/qbNqy4JgWOF9g
agHioUJ5p4hvbyu0CS3jwNOG8fIqn48nqX/k+o9b2tixRYik9lbS+9kDWrYzWSn+PFrxAHOqQ9YI
iNKyvcWVZx26bzUbKQ1B41kgPQR9DRgCuuwRqW1OpiD55tM1dcBn7xeSOFgQGZH04oCS/FmsfU+n
q4k5csOhmUkkYyEoX7Pba4UXnEmKRO/DcVghErGwLiWrxzDLS8eUzueOZ8IOPb/IEzXF7ZF06M79
1JoOk3tzSv6K7Skc3hdx9mUqe9pZmk2hoKEe3gN6OIyD7FCG3+TAVBIyFPJCh0wFhknFwgPw57E7
u+MIM1kkZMSDhREeMQhycJ5egOsIcvkswfD/Waz8/NwfxjnoXE4xSyhAPQg1zw2AoEfaSl9fmQPg
/d9JU9L8sjeZE+jJ5ATaLk1VrtWeEa3Pp5nl9u6WBIHU4LOymFANEYlUUrYaHht+4qXH/1tWY5Pd
ETmLz6U1+Jo7SXHr0NUue+oPLP5awqTuw1+7qYaO7xb0yXmPHQKJzpfTMEPlmMoBvybCtzNKpsfO
778pJoaDnJ84TJQXBw2f1g2bP/eA9vUB95mkObbf8u5RVzp6fWbvuacx9BEtJTKh/4kXBtsWFdv0
vsm3JGxN3uprnFtE94xq8sxxe/IWLTwGYurEF8ureuDWAnlpCexZB/aY7eTIg47fG2UNHZAjxTp3
WwJWXxEHdk2hrby4OLtta4EChb6uaaDmQLOJiyXCAz+QFggAkufrpgSjT6JRJ0NjVUuh/R0MrD4t
+AQQtqq7rx74gZQAWl/kKDtpQaWtOuRsBlCtF5YC1a8kXA1OCB9tEQxoqMMpqtP8ZbNPfzGNs0+1
CMRS3/4UTFECZCh4nJsb/i2j+KJBwBMWuOZOWlAlSAQpwSIdX60C1npDCxasgCYwFdIg1fXR1gLx
Dr2yUpU7/7Rd/cTOqCo0aYITUVAp1rPc1gJxrf4T9l0o/APZAlJ73ecvM38iR+Seq4+htTkaWh/X
BRIHmqGVV3UU+UBaUACudd4ctT6AaotwS7X3SZiY7VVg6n1qFmSxNTztGx9rLcABInc+JXJEkAG7
AMapZtnSAowxQHI2qJoP9i1gptTOtsDoQ/ksMO/gYMSFQ7u9CipboGN7S+jRBzwigYYSCKVu+wKb
vwJEXSH2UF1NLZgwWVA5y2ns53fHd5iNJ9/r0PX8cel1eU66yzl76Yb6VP787xuP43RM0QtuReNG
gXWrnv3DKfujsQGXpn/rj/VWUD5n8++bCT5/dONZ9azqX554TmIDXSVzjsdWbIZ5Zc9x3f7j2492
s7kK8R+s9I+R/P5bY5xb7/8NwenMruUInRCuImzSWS4dF8KgKdhSsdDdBc/sILXTWlI5ZKJX9c87
0YpPn8Jrqji0fVhokxZSsfI3uo6aKFKY2OOwHqUYdeXRd5ccBM4o8+g21hBOULH++ddVcuT49tJO
nFqSGDbMzntQdu3gfgr/+YRy8vljk4iH7MIeViFw78QbN1dh5Tp0VfuxE4JqbUrmVIDZ7Sr5BI17
Xi2nXN4KvY/qX/z6yzwd06CpFlPKrbzIrgM+hf2ZBnvNL7JyTTqLDsaQJTe1LBDC9Sw6KCNctsRa
Jht91wGfP7dNMEEO9iCYkeWjWVFLKt+fOITUv/h1VVyElKo8UzO8V3vYXi7plt6wHqKKeA9jvrRp
td1mx5fw17ur49JOU3vk5qmTZY01DW+Hug+VeCPXm9jN8CZEYnv4wi899oK03d+YKNYePphLLwWi
k3pR1LBNgIKFm9T1uxHSwzxpi97LwCmWb9kQ8uim1X3QV85jYrdOT1TE6nsRvbCb+xZ5KhH97aro
K2f56cSeRykEI40PE/nC09mH/DMnSZ2iliUsFTEKQXmzD+GXzsobNbYxhItg4D6EfwPyVkvajFvE
VjqLDhM4jA7tJGSnbGw7sqILuMd+HvCcJAnxgue4q/hr12tqXGW17EHsKy0jX06Jvessf504dICr
h1i+yipM2FUVN28QR3Yc91udXzqKvyvJtHYtREGntYdXWj3g+UKs2bo6jv8e7Ttp6jQs1yb01/XN
3jurplepMOg9WNw/M9vdXoibGF3X4b5CA9NRya/V63UU/WCz7wSTrPlpbqJ2XTXy4KTZp52DJ3a9
B2f4wUtHIWW0DbOyibV1HvvLIKJXVb4r0vSUnXgef6oT8rv+rRlcE3eMfMdO/vgvAAAA//8=</cx:binary>
              </cx:geoCache>
            </cx:geography>
          </cx:layoutPr>
          <cx:valueColors>
            <cx:minColor>
              <a:srgbClr val="6AA343"/>
            </cx:minColor>
            <cx:maxColor>
              <a:srgbClr val="3C5C26"/>
            </cx:maxColor>
          </cx:valueColors>
        </cx:series>
      </cx:plotAreaRegion>
    </cx:plotArea>
    <cx:legend pos="t" align="ctr" overlay="0">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legend>
  </cx:chart>
  <cx:spPr>
    <a:noFill/>
    <a:ln>
      <a:noFill/>
    </a:ln>
    <a:effectLst>
      <a:outerShdw blurRad="50800" dist="50800" dir="5400000" algn="ctr" rotWithShape="0">
        <a:srgbClr val="578537"/>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85412AA0-78D8-48B8-B80B-F135EC97F9CB}">
          <cx:tx>
            <cx:txData>
              <cx:f>_xlchart.v1.12</cx:f>
              <cx:v>Sum of Revenue</cx:v>
            </cx:txData>
          </cx:tx>
          <cx:dataPt idx="0">
            <cx:spPr>
              <a:solidFill>
                <a:srgbClr val="7EBB55"/>
              </a:solidFill>
            </cx:spPr>
          </cx:dataPt>
          <cx:dataPt idx="1">
            <cx:spPr>
              <a:solidFill>
                <a:srgbClr val="9ECC7E"/>
              </a:solidFill>
            </cx:spPr>
          </cx:dataPt>
          <cx:dataPt idx="2">
            <cx:spPr>
              <a:solidFill>
                <a:srgbClr val="5E923A"/>
              </a:solidFill>
            </cx:spPr>
          </cx:dataPt>
          <cx:dataPt idx="3">
            <cx:spPr>
              <a:solidFill>
                <a:srgbClr val="C2DFAF"/>
              </a:solidFill>
            </cx:spPr>
          </cx:dataPt>
          <cx:dataPt idx="4">
            <cx:spPr>
              <a:solidFill>
                <a:srgbClr val="406129"/>
              </a:solidFill>
            </cx:spPr>
          </cx:dataPt>
          <cx:dataPt idx="5">
            <cx:spPr>
              <a:solidFill>
                <a:srgbClr val="70AD47">
                  <a:lumMod val="75000"/>
                </a:srgbClr>
              </a:solidFill>
            </cx:spPr>
          </cx:dataPt>
          <cx:dataLabels pos="inEnd">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 lastClr="FFFFFF"/>
                  </a:solidFill>
                  <a:latin typeface="Calibri" panose="020F0502020204030204"/>
                </a:endParaRPr>
              </a:p>
            </cx:txPr>
            <cx:visibility seriesName="0" categoryName="1" value="0"/>
            <cx:separator>
</cx:separator>
          </cx:dataLabels>
          <cx:dataId val="0"/>
          <cx:layoutPr>
            <cx:parentLabelLayout val="overlapping"/>
          </cx:layoutPr>
        </cx:series>
      </cx:plotAreaRegion>
    </cx:plotArea>
  </cx:chart>
  <cx:spPr>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3.png"/><Relationship Id="rId18" Type="http://schemas.openxmlformats.org/officeDocument/2006/relationships/image" Target="../media/image8.svg"/><Relationship Id="rId26" Type="http://schemas.openxmlformats.org/officeDocument/2006/relationships/chart" Target="../charts/chart20.xml"/><Relationship Id="rId3" Type="http://schemas.openxmlformats.org/officeDocument/2006/relationships/chart" Target="../charts/chart10.xml"/><Relationship Id="rId21" Type="http://schemas.openxmlformats.org/officeDocument/2006/relationships/image" Target="../media/image11.png"/><Relationship Id="rId34" Type="http://schemas.microsoft.com/office/2014/relationships/chartEx" Target="../charts/chartEx4.xml"/><Relationship Id="rId7" Type="http://schemas.openxmlformats.org/officeDocument/2006/relationships/chart" Target="../charts/chart14.xml"/><Relationship Id="rId12" Type="http://schemas.openxmlformats.org/officeDocument/2006/relationships/image" Target="../media/image2.svg"/><Relationship Id="rId17" Type="http://schemas.openxmlformats.org/officeDocument/2006/relationships/image" Target="../media/image7.png"/><Relationship Id="rId25" Type="http://schemas.openxmlformats.org/officeDocument/2006/relationships/chart" Target="../charts/chart19.xml"/><Relationship Id="rId33" Type="http://schemas.openxmlformats.org/officeDocument/2006/relationships/chart" Target="../charts/chart27.xml"/><Relationship Id="rId2" Type="http://schemas.openxmlformats.org/officeDocument/2006/relationships/chart" Target="../charts/chart9.xml"/><Relationship Id="rId16" Type="http://schemas.openxmlformats.org/officeDocument/2006/relationships/image" Target="../media/image6.svg"/><Relationship Id="rId20" Type="http://schemas.openxmlformats.org/officeDocument/2006/relationships/image" Target="../media/image10.svg"/><Relationship Id="rId29" Type="http://schemas.openxmlformats.org/officeDocument/2006/relationships/chart" Target="../charts/chart23.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1.png"/><Relationship Id="rId24" Type="http://schemas.openxmlformats.org/officeDocument/2006/relationships/chart" Target="../charts/chart18.xml"/><Relationship Id="rId32" Type="http://schemas.openxmlformats.org/officeDocument/2006/relationships/chart" Target="../charts/chart26.xml"/><Relationship Id="rId5" Type="http://schemas.openxmlformats.org/officeDocument/2006/relationships/chart" Target="../charts/chart12.xml"/><Relationship Id="rId15" Type="http://schemas.openxmlformats.org/officeDocument/2006/relationships/image" Target="../media/image5.png"/><Relationship Id="rId23" Type="http://schemas.openxmlformats.org/officeDocument/2006/relationships/chart" Target="../charts/chart17.xml"/><Relationship Id="rId28" Type="http://schemas.openxmlformats.org/officeDocument/2006/relationships/chart" Target="../charts/chart22.xml"/><Relationship Id="rId10" Type="http://schemas.openxmlformats.org/officeDocument/2006/relationships/chart" Target="../charts/chart16.xml"/><Relationship Id="rId19" Type="http://schemas.openxmlformats.org/officeDocument/2006/relationships/image" Target="../media/image9.png"/><Relationship Id="rId31" Type="http://schemas.openxmlformats.org/officeDocument/2006/relationships/chart" Target="../charts/chart25.xml"/><Relationship Id="rId4" Type="http://schemas.openxmlformats.org/officeDocument/2006/relationships/chart" Target="../charts/chart11.xml"/><Relationship Id="rId9" Type="http://schemas.microsoft.com/office/2014/relationships/chartEx" Target="../charts/chartEx3.xml"/><Relationship Id="rId14" Type="http://schemas.openxmlformats.org/officeDocument/2006/relationships/image" Target="../media/image4.svg"/><Relationship Id="rId22" Type="http://schemas.openxmlformats.org/officeDocument/2006/relationships/image" Target="../media/image12.svg"/><Relationship Id="rId27" Type="http://schemas.openxmlformats.org/officeDocument/2006/relationships/chart" Target="../charts/chart21.xml"/><Relationship Id="rId30" Type="http://schemas.openxmlformats.org/officeDocument/2006/relationships/chart" Target="../charts/chart24.xml"/><Relationship Id="rId35" Type="http://schemas.openxmlformats.org/officeDocument/2006/relationships/chart" Target="../charts/chart28.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101287</xdr:colOff>
      <xdr:row>0</xdr:row>
      <xdr:rowOff>116069</xdr:rowOff>
    </xdr:from>
    <xdr:to>
      <xdr:col>8</xdr:col>
      <xdr:colOff>218606</xdr:colOff>
      <xdr:row>58</xdr:row>
      <xdr:rowOff>135328</xdr:rowOff>
    </xdr:to>
    <xdr:sp macro="" textlink="">
      <xdr:nvSpPr>
        <xdr:cNvPr id="2" name="Rectangle: Rounded Corners 1">
          <a:extLst>
            <a:ext uri="{FF2B5EF4-FFF2-40B4-BE49-F238E27FC236}">
              <a16:creationId xmlns:a16="http://schemas.microsoft.com/office/drawing/2014/main" id="{077A8B08-4CFE-4687-87A5-BE7E51921939}"/>
            </a:ext>
          </a:extLst>
        </xdr:cNvPr>
        <xdr:cNvSpPr/>
      </xdr:nvSpPr>
      <xdr:spPr>
        <a:xfrm>
          <a:off x="101287" y="116069"/>
          <a:ext cx="5030762" cy="10887128"/>
        </a:xfrm>
        <a:prstGeom prst="roundRect">
          <a:avLst>
            <a:gd name="adj" fmla="val 652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rial" panose="020B0604020202020204" pitchFamily="34" charset="0"/>
              <a:cs typeface="Arial" panose="020B0604020202020204" pitchFamily="34" charset="0"/>
            </a:rPr>
            <a:t>DATA</a:t>
          </a:r>
          <a:r>
            <a:rPr lang="en-US" sz="2000" b="1" baseline="0">
              <a:latin typeface="Arial" panose="020B0604020202020204" pitchFamily="34" charset="0"/>
              <a:cs typeface="Arial" panose="020B0604020202020204" pitchFamily="34" charset="0"/>
            </a:rPr>
            <a:t> SPLITTING</a:t>
          </a:r>
        </a:p>
        <a:p>
          <a:pPr algn="ctr"/>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INDEPENDENT VALUE</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1.Customer Name</a:t>
          </a:r>
        </a:p>
        <a:p>
          <a:pPr algn="l"/>
          <a:r>
            <a:rPr lang="en-US" sz="2000" b="1" baseline="0">
              <a:latin typeface="Arial" panose="020B0604020202020204" pitchFamily="34" charset="0"/>
              <a:cs typeface="Arial" panose="020B0604020202020204" pitchFamily="34" charset="0"/>
            </a:rPr>
            <a:t>2. Address</a:t>
          </a:r>
        </a:p>
        <a:p>
          <a:pPr algn="l"/>
          <a:r>
            <a:rPr lang="en-US" sz="2000" b="1" baseline="0">
              <a:latin typeface="Arial" panose="020B0604020202020204" pitchFamily="34" charset="0"/>
              <a:cs typeface="Arial" panose="020B0604020202020204" pitchFamily="34" charset="0"/>
            </a:rPr>
            <a:t>3.City</a:t>
          </a:r>
        </a:p>
        <a:p>
          <a:pPr algn="l"/>
          <a:r>
            <a:rPr lang="en-US" sz="2000" b="1" baseline="0">
              <a:latin typeface="Arial" panose="020B0604020202020204" pitchFamily="34" charset="0"/>
              <a:cs typeface="Arial" panose="020B0604020202020204" pitchFamily="34" charset="0"/>
            </a:rPr>
            <a:t>4.State</a:t>
          </a:r>
        </a:p>
        <a:p>
          <a:pPr algn="l"/>
          <a:r>
            <a:rPr lang="en-US" sz="2000" b="1" baseline="0">
              <a:latin typeface="Arial" panose="020B0604020202020204" pitchFamily="34" charset="0"/>
              <a:cs typeface="Arial" panose="020B0604020202020204" pitchFamily="34" charset="0"/>
            </a:rPr>
            <a:t>5.Country/Region</a:t>
          </a:r>
        </a:p>
        <a:p>
          <a:pPr algn="l"/>
          <a:r>
            <a:rPr lang="en-US" sz="2000" b="1" baseline="0">
              <a:latin typeface="Arial" panose="020B0604020202020204" pitchFamily="34" charset="0"/>
              <a:cs typeface="Arial" panose="020B0604020202020204" pitchFamily="34" charset="0"/>
            </a:rPr>
            <a:t>6.Salesperson</a:t>
          </a:r>
        </a:p>
        <a:p>
          <a:pPr algn="l"/>
          <a:r>
            <a:rPr lang="en-US" sz="2000" b="1" baseline="0">
              <a:latin typeface="Arial" panose="020B0604020202020204" pitchFamily="34" charset="0"/>
              <a:cs typeface="Arial" panose="020B0604020202020204" pitchFamily="34" charset="0"/>
            </a:rPr>
            <a:t>7.Region</a:t>
          </a:r>
        </a:p>
        <a:p>
          <a:pPr algn="l"/>
          <a:r>
            <a:rPr lang="en-US" sz="2000" b="1" baseline="0">
              <a:latin typeface="Arial" panose="020B0604020202020204" pitchFamily="34" charset="0"/>
              <a:cs typeface="Arial" panose="020B0604020202020204" pitchFamily="34" charset="0"/>
            </a:rPr>
            <a:t>8.Shipper Name</a:t>
          </a:r>
        </a:p>
        <a:p>
          <a:pPr algn="l"/>
          <a:r>
            <a:rPr lang="en-US" sz="2000" b="1" baseline="0">
              <a:latin typeface="Arial" panose="020B0604020202020204" pitchFamily="34" charset="0"/>
              <a:cs typeface="Arial" panose="020B0604020202020204" pitchFamily="34" charset="0"/>
            </a:rPr>
            <a:t>9.Ship Name</a:t>
          </a:r>
        </a:p>
        <a:p>
          <a:pPr algn="l"/>
          <a:r>
            <a:rPr lang="en-US" sz="2000" b="1" baseline="0">
              <a:latin typeface="Arial" panose="020B0604020202020204" pitchFamily="34" charset="0"/>
              <a:cs typeface="Arial" panose="020B0604020202020204" pitchFamily="34" charset="0"/>
            </a:rPr>
            <a:t>10.Ship Address</a:t>
          </a:r>
        </a:p>
        <a:p>
          <a:pPr algn="l"/>
          <a:r>
            <a:rPr lang="en-US" sz="2000" b="1" baseline="0">
              <a:latin typeface="Arial" panose="020B0604020202020204" pitchFamily="34" charset="0"/>
              <a:cs typeface="Arial" panose="020B0604020202020204" pitchFamily="34" charset="0"/>
            </a:rPr>
            <a:t>11.Ship City</a:t>
          </a:r>
        </a:p>
        <a:p>
          <a:pPr algn="l"/>
          <a:r>
            <a:rPr lang="en-US" sz="2000" b="1" baseline="0">
              <a:latin typeface="Arial" panose="020B0604020202020204" pitchFamily="34" charset="0"/>
              <a:cs typeface="Arial" panose="020B0604020202020204" pitchFamily="34" charset="0"/>
            </a:rPr>
            <a:t>12.Ship State</a:t>
          </a:r>
        </a:p>
        <a:p>
          <a:pPr algn="l"/>
          <a:r>
            <a:rPr lang="en-US" sz="2000" b="1" baseline="0">
              <a:latin typeface="Arial" panose="020B0604020202020204" pitchFamily="34" charset="0"/>
              <a:cs typeface="Arial" panose="020B0604020202020204" pitchFamily="34" charset="0"/>
            </a:rPr>
            <a:t>13.Ship Country/Region</a:t>
          </a:r>
        </a:p>
        <a:p>
          <a:pPr algn="l"/>
          <a:r>
            <a:rPr lang="en-US" sz="2000" b="1" baseline="0">
              <a:latin typeface="Arial" panose="020B0604020202020204" pitchFamily="34" charset="0"/>
              <a:cs typeface="Arial" panose="020B0604020202020204" pitchFamily="34" charset="0"/>
            </a:rPr>
            <a:t>14.Payment Type</a:t>
          </a:r>
        </a:p>
        <a:p>
          <a:pPr algn="l"/>
          <a:r>
            <a:rPr lang="en-US" sz="2000" b="1" baseline="0">
              <a:latin typeface="Arial" panose="020B0604020202020204" pitchFamily="34" charset="0"/>
              <a:cs typeface="Arial" panose="020B0604020202020204" pitchFamily="34" charset="0"/>
            </a:rPr>
            <a:t>15.Product Name</a:t>
          </a:r>
        </a:p>
        <a:p>
          <a:pPr algn="l"/>
          <a:r>
            <a:rPr lang="en-US" sz="2000" b="1" baseline="0">
              <a:latin typeface="Arial" panose="020B0604020202020204" pitchFamily="34" charset="0"/>
              <a:cs typeface="Arial" panose="020B0604020202020204" pitchFamily="34" charset="0"/>
            </a:rPr>
            <a:t>16.Category</a:t>
          </a:r>
        </a:p>
        <a:p>
          <a:pPr algn="l"/>
          <a:endParaRPr lang="en-US" sz="2000" b="1" baseline="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Arial" panose="020B0604020202020204" pitchFamily="34" charset="0"/>
              <a:ea typeface="+mn-ea"/>
              <a:cs typeface="Arial" panose="020B0604020202020204" pitchFamily="34" charset="0"/>
            </a:rPr>
            <a:t>DEPENDENT VALUE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2000" b="1"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1.Unit Price</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2.Quantity</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3.Revenue</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4.Shipping Fee</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5.Order ID.</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6.Order date</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7.Customer ID</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8.Zip/Postal code</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9.Shipped date</a:t>
          </a: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10.Ship Zip/Postal code</a:t>
          </a:r>
          <a:endParaRPr lang="en-US" sz="2000">
            <a:effectLst/>
          </a:endParaRPr>
        </a:p>
        <a:p>
          <a:pPr algn="l"/>
          <a:endParaRPr lang="en-US" sz="900" b="1" baseline="0">
            <a:latin typeface="Arial" panose="020B0604020202020204" pitchFamily="34" charset="0"/>
            <a:cs typeface="Arial" panose="020B0604020202020204" pitchFamily="34" charset="0"/>
          </a:endParaRPr>
        </a:p>
      </xdr:txBody>
    </xdr:sp>
    <xdr:clientData/>
  </xdr:twoCellAnchor>
  <xdr:twoCellAnchor>
    <xdr:from>
      <xdr:col>13</xdr:col>
      <xdr:colOff>417748</xdr:colOff>
      <xdr:row>1</xdr:row>
      <xdr:rowOff>56940</xdr:rowOff>
    </xdr:from>
    <xdr:to>
      <xdr:col>28</xdr:col>
      <xdr:colOff>341548</xdr:colOff>
      <xdr:row>124</xdr:row>
      <xdr:rowOff>31230</xdr:rowOff>
    </xdr:to>
    <xdr:sp macro="" textlink="">
      <xdr:nvSpPr>
        <xdr:cNvPr id="3" name="Rectangle: Rounded Corners 2">
          <a:extLst>
            <a:ext uri="{FF2B5EF4-FFF2-40B4-BE49-F238E27FC236}">
              <a16:creationId xmlns:a16="http://schemas.microsoft.com/office/drawing/2014/main" id="{330BFB32-FE5C-49F4-96C1-0A95EB31D458}"/>
            </a:ext>
          </a:extLst>
        </xdr:cNvPr>
        <xdr:cNvSpPr/>
      </xdr:nvSpPr>
      <xdr:spPr>
        <a:xfrm>
          <a:off x="8402092" y="244317"/>
          <a:ext cx="9136505" cy="23021667"/>
        </a:xfrm>
        <a:prstGeom prst="roundRect">
          <a:avLst>
            <a:gd name="adj" fmla="val 367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latin typeface="Arial" panose="020B0604020202020204" pitchFamily="34" charset="0"/>
              <a:cs typeface="Arial" panose="020B0604020202020204" pitchFamily="34" charset="0"/>
            </a:rPr>
            <a:t>Potential Questions/Expected Insights</a:t>
          </a:r>
        </a:p>
        <a:p>
          <a:pPr algn="ctr"/>
          <a:endParaRPr lang="en-US" sz="1200" b="1">
            <a:latin typeface="Arial" panose="020B0604020202020204" pitchFamily="34" charset="0"/>
            <a:cs typeface="Arial" panose="020B0604020202020204" pitchFamily="34" charset="0"/>
          </a:endParaRPr>
        </a:p>
        <a:p>
          <a:pPr algn="l"/>
          <a:r>
            <a:rPr lang="en-US" sz="2000" b="1">
              <a:latin typeface="Arial" panose="020B0604020202020204" pitchFamily="34" charset="0"/>
              <a:cs typeface="Arial" panose="020B0604020202020204" pitchFamily="34" charset="0"/>
            </a:rPr>
            <a:t>1.</a:t>
          </a:r>
          <a:r>
            <a:rPr lang="en-US" sz="2000">
              <a:latin typeface="Arial" panose="020B0604020202020204" pitchFamily="34" charset="0"/>
              <a:cs typeface="Arial" panose="020B0604020202020204" pitchFamily="34" charset="0"/>
            </a:rPr>
            <a:t>Which sales person generated the highest revenue? </a:t>
          </a:r>
        </a:p>
        <a:p>
          <a:pPr algn="l"/>
          <a:r>
            <a:rPr lang="en-US" sz="2000" b="1">
              <a:latin typeface="Arial" panose="020B0604020202020204" pitchFamily="34" charset="0"/>
              <a:cs typeface="Arial" panose="020B0604020202020204" pitchFamily="34" charset="0"/>
            </a:rPr>
            <a:t>Expected Insight</a:t>
          </a:r>
          <a:r>
            <a:rPr lang="en-US" sz="2000">
              <a:latin typeface="Arial" panose="020B0604020202020204" pitchFamily="34" charset="0"/>
              <a:cs typeface="Arial" panose="020B0604020202020204" pitchFamily="34" charset="0"/>
            </a:rPr>
            <a: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Top-performing sales persons may generate higher revenue due to stronger customer relationships, better territories, or higher-value transactions.</a:t>
          </a:r>
        </a:p>
        <a:p>
          <a:pPr algn="l"/>
          <a:endParaRPr lang="en-US" sz="2000" b="1">
            <a:latin typeface="Arial" panose="020B0604020202020204" pitchFamily="34" charset="0"/>
            <a:cs typeface="Arial" panose="020B0604020202020204" pitchFamily="34" charset="0"/>
          </a:endParaRPr>
        </a:p>
        <a:p>
          <a:pPr algn="l"/>
          <a:r>
            <a:rPr lang="en-US" sz="2000" b="1">
              <a:latin typeface="Arial" panose="020B0604020202020204" pitchFamily="34" charset="0"/>
              <a:cs typeface="Arial" panose="020B0604020202020204" pitchFamily="34" charset="0"/>
            </a:rPr>
            <a:t>2. </a:t>
          </a:r>
          <a:r>
            <a:rPr lang="en-US" sz="2000">
              <a:latin typeface="Arial" panose="020B0604020202020204" pitchFamily="34" charset="0"/>
              <a:cs typeface="Arial" panose="020B0604020202020204" pitchFamily="34" charset="0"/>
            </a:rPr>
            <a:t>Which sales person recorded the highest quantity sold? </a:t>
          </a:r>
        </a:p>
        <a:p>
          <a:pPr algn="l"/>
          <a:r>
            <a:rPr lang="en-US" sz="2000">
              <a:latin typeface="Arial" panose="020B0604020202020204" pitchFamily="34" charset="0"/>
              <a:cs typeface="Arial" panose="020B0604020202020204" pitchFamily="34" charset="0"/>
            </a:rPr>
            <a:t>Expected Insight: Sales persons with the highest quantity sold may focus on high-volume customers or frequently sell fast-moving products.</a:t>
          </a:r>
        </a:p>
        <a:p>
          <a:pPr algn="l"/>
          <a:endParaRPr lang="en-US" sz="2000" b="1">
            <a:latin typeface="Arial" panose="020B0604020202020204" pitchFamily="34" charset="0"/>
            <a:cs typeface="Arial" panose="020B0604020202020204" pitchFamily="34" charset="0"/>
          </a:endParaRPr>
        </a:p>
        <a:p>
          <a:pPr algn="l"/>
          <a:r>
            <a:rPr lang="en-US" sz="2000" b="1">
              <a:latin typeface="Arial" panose="020B0604020202020204" pitchFamily="34" charset="0"/>
              <a:cs typeface="Arial" panose="020B0604020202020204" pitchFamily="34" charset="0"/>
            </a:rPr>
            <a:t>3. </a:t>
          </a:r>
          <a:r>
            <a:rPr lang="en-US" sz="2000">
              <a:latin typeface="Arial" panose="020B0604020202020204" pitchFamily="34" charset="0"/>
              <a:cs typeface="Arial" panose="020B0604020202020204" pitchFamily="34" charset="0"/>
            </a:rPr>
            <a:t>Who is the best performing sales person based on quantity sold? </a:t>
          </a:r>
        </a:p>
        <a:p>
          <a:pPr algn="l"/>
          <a:r>
            <a:rPr lang="en-US" sz="2000">
              <a:latin typeface="Arial" panose="020B0604020202020204" pitchFamily="34" charset="0"/>
              <a:cs typeface="Arial" panose="020B0604020202020204" pitchFamily="34" charset="0"/>
            </a:rPr>
            <a:t>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High-performing sales persons in terms of quantity may indicate effective selling techniques or access to high-demand product categories.</a:t>
          </a:r>
        </a:p>
        <a:p>
          <a:pPr algn="l"/>
          <a:endParaRPr lang="en-US" sz="2000" b="1">
            <a:latin typeface="Arial" panose="020B0604020202020204" pitchFamily="34" charset="0"/>
            <a:cs typeface="Arial" panose="020B0604020202020204" pitchFamily="34" charset="0"/>
          </a:endParaRPr>
        </a:p>
        <a:p>
          <a:pPr algn="l"/>
          <a:r>
            <a:rPr lang="en-US" sz="2000" b="1">
              <a:latin typeface="Arial" panose="020B0604020202020204" pitchFamily="34" charset="0"/>
              <a:cs typeface="Arial" panose="020B0604020202020204" pitchFamily="34" charset="0"/>
            </a:rPr>
            <a:t>4.</a:t>
          </a:r>
          <a:r>
            <a:rPr lang="en-US" sz="2000" b="1"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Which region recorded the lowest revenue generated? </a:t>
          </a:r>
        </a:p>
        <a:p>
          <a:pPr algn="l"/>
          <a:r>
            <a:rPr lang="en-US" sz="2000">
              <a:latin typeface="Arial" panose="020B0604020202020204" pitchFamily="34" charset="0"/>
              <a:cs typeface="Arial" panose="020B0604020202020204" pitchFamily="34" charset="0"/>
            </a:rPr>
            <a:t>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Regions with low revenue may experience weaker market penetration, lower customer demand, or limited sales coverage.</a:t>
          </a:r>
        </a:p>
        <a:p>
          <a:pPr algn="l"/>
          <a:endParaRPr lang="en-US" sz="2000" b="1">
            <a:latin typeface="Arial" panose="020B0604020202020204" pitchFamily="34" charset="0"/>
            <a:cs typeface="Arial" panose="020B0604020202020204" pitchFamily="34" charset="0"/>
          </a:endParaRPr>
        </a:p>
        <a:p>
          <a:pPr algn="l"/>
          <a:r>
            <a:rPr lang="en-US" sz="2000" b="1">
              <a:latin typeface="Arial" panose="020B0604020202020204" pitchFamily="34" charset="0"/>
              <a:cs typeface="Arial" panose="020B0604020202020204" pitchFamily="34" charset="0"/>
            </a:rPr>
            <a:t>5. </a:t>
          </a:r>
          <a:r>
            <a:rPr lang="en-US" sz="2000">
              <a:latin typeface="Arial" panose="020B0604020202020204" pitchFamily="34" charset="0"/>
              <a:cs typeface="Arial" panose="020B0604020202020204" pitchFamily="34" charset="0"/>
            </a:rPr>
            <a:t>Which country recorded the lowest total shipping fee? </a:t>
          </a:r>
        </a:p>
        <a:p>
          <a:pPr algn="l"/>
          <a:r>
            <a:rPr lang="en-US" sz="2000">
              <a:latin typeface="Arial" panose="020B0604020202020204" pitchFamily="34" charset="0"/>
              <a:cs typeface="Arial" panose="020B0604020202020204" pitchFamily="34" charset="0"/>
            </a:rPr>
            <a:t>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Countries with low shipping fees may have fewer orders, shorter delivery distances, or more efficient logistics operations.</a:t>
          </a:r>
          <a:endParaRPr lang="en-US" sz="2000" b="1">
            <a:latin typeface="Arial" panose="020B0604020202020204" pitchFamily="34" charset="0"/>
            <a:cs typeface="Arial" panose="020B0604020202020204" pitchFamily="34" charset="0"/>
          </a:endParaRP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6. </a:t>
          </a:r>
          <a:r>
            <a:rPr lang="en-US" sz="2000">
              <a:latin typeface="Arial" panose="020B0604020202020204" pitchFamily="34" charset="0"/>
              <a:cs typeface="Arial" panose="020B0604020202020204" pitchFamily="34" charset="0"/>
            </a:rPr>
            <a:t>Which </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customer generated the highest revenue? </a:t>
          </a:r>
        </a:p>
        <a:p>
          <a:pPr algn="l"/>
          <a:r>
            <a:rPr lang="en-US" sz="2000">
              <a:latin typeface="Arial" panose="020B0604020202020204" pitchFamily="34" charset="0"/>
              <a:cs typeface="Arial" panose="020B0604020202020204" pitchFamily="34" charset="0"/>
            </a:rPr>
            <a:t>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A small number of customers may contribute a large share of total revenue, highlighting the importance of key account management.</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7. </a:t>
          </a:r>
          <a:r>
            <a:rPr lang="en-US" sz="2000">
              <a:latin typeface="Arial" panose="020B0604020202020204" pitchFamily="34" charset="0"/>
              <a:cs typeface="Arial" panose="020B0604020202020204" pitchFamily="34" charset="0"/>
            </a:rPr>
            <a:t>Which customer purchased the highest quantity of products?</a:t>
          </a:r>
        </a:p>
        <a:p>
          <a:pPr algn="l"/>
          <a:r>
            <a:rPr lang="en-US" sz="2000">
              <a:latin typeface="Arial" panose="020B0604020202020204" pitchFamily="34" charset="0"/>
              <a:cs typeface="Arial" panose="020B0604020202020204" pitchFamily="34" charset="0"/>
            </a:rPr>
            <a:t> 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Customers with high purchase volumes may be bulk buyers or long-term loyal customers who drive consistent sales.</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8. </a:t>
          </a:r>
          <a:r>
            <a:rPr lang="en-US" sz="2000">
              <a:latin typeface="Arial" panose="020B0604020202020204" pitchFamily="34" charset="0"/>
              <a:cs typeface="Arial" panose="020B0604020202020204" pitchFamily="34" charset="0"/>
            </a:rPr>
            <a:t>Which product recorded the lowest quantity sold? </a:t>
          </a:r>
        </a:p>
        <a:p>
          <a:pPr algn="l"/>
          <a:r>
            <a:rPr lang="en-US" sz="2000">
              <a:latin typeface="Arial" panose="020B0604020202020204" pitchFamily="34" charset="0"/>
              <a:cs typeface="Arial" panose="020B0604020202020204" pitchFamily="34" charset="0"/>
            </a:rPr>
            <a:t>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Products with low quantity sold may suffer from weak demand, poor visibility, or misalignment with customer preferences.</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9. </a:t>
          </a:r>
          <a:r>
            <a:rPr lang="en-US" sz="2000">
              <a:latin typeface="Arial" panose="020B0604020202020204" pitchFamily="34" charset="0"/>
              <a:cs typeface="Arial" panose="020B0604020202020204" pitchFamily="34" charset="0"/>
            </a:rPr>
            <a:t>Which product recorded the lowest shipping fee? </a:t>
          </a:r>
        </a:p>
        <a:p>
          <a:pPr algn="l"/>
          <a:r>
            <a:rPr lang="en-US" sz="2000">
              <a:latin typeface="Arial" panose="020B0604020202020204" pitchFamily="34" charset="0"/>
              <a:cs typeface="Arial" panose="020B0604020202020204" pitchFamily="34" charset="0"/>
            </a:rPr>
            <a:t>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Products with lower shipping fees may be lightweight, locally distributed, or shipped shorter distances.</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10. </a:t>
          </a:r>
          <a:r>
            <a:rPr lang="en-US" sz="2000">
              <a:latin typeface="Arial" panose="020B0604020202020204" pitchFamily="34" charset="0"/>
              <a:cs typeface="Arial" panose="020B0604020202020204" pitchFamily="34" charset="0"/>
            </a:rPr>
            <a:t>Which product or product category has the highest unit price? </a:t>
          </a:r>
        </a:p>
        <a:p>
          <a:pPr algn="l"/>
          <a:r>
            <a:rPr lang="en-US" sz="2000">
              <a:latin typeface="Arial" panose="020B0604020202020204" pitchFamily="34" charset="0"/>
              <a:cs typeface="Arial" panose="020B0604020202020204" pitchFamily="34" charset="0"/>
            </a:rPr>
            <a:t>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High unit-price products are likely premium or specialized items that contribute higher revenue per transaction.</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11. </a:t>
          </a:r>
          <a:r>
            <a:rPr lang="en-US" sz="2000">
              <a:latin typeface="Arial" panose="020B0604020202020204" pitchFamily="34" charset="0"/>
              <a:cs typeface="Arial" panose="020B0604020202020204" pitchFamily="34" charset="0"/>
            </a:rPr>
            <a:t>Which customer is the most consistent based on the number of purchase transactions? </a:t>
          </a:r>
        </a:p>
        <a:p>
          <a:pPr algn="l"/>
          <a:r>
            <a:rPr lang="en-US" sz="2000">
              <a:latin typeface="Arial" panose="020B0604020202020204" pitchFamily="34" charset="0"/>
              <a:cs typeface="Arial" panose="020B0604020202020204" pitchFamily="34" charset="0"/>
            </a:rPr>
            <a:t>Expected Insight:Consistent customers may represent loyal buyers who contribute steady revenue and have high lifetime value. </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12. </a:t>
          </a:r>
          <a:r>
            <a:rPr lang="en-US" sz="2000">
              <a:latin typeface="Arial" panose="020B0604020202020204" pitchFamily="34" charset="0"/>
              <a:cs typeface="Arial" panose="020B0604020202020204" pitchFamily="34" charset="0"/>
            </a:rPr>
            <a:t>Which region records the best payment type performance? </a:t>
          </a:r>
        </a:p>
        <a:p>
          <a:pPr algn="l"/>
          <a:r>
            <a:rPr lang="en-US" sz="2000">
              <a:latin typeface="Arial" panose="020B0604020202020204" pitchFamily="34" charset="0"/>
              <a:cs typeface="Arial" panose="020B0604020202020204" pitchFamily="34" charset="0"/>
            </a:rPr>
            <a:t>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Certain regions may prefer specific payment methods that improve transaction success rates and cash flow efficiency</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13. </a:t>
          </a:r>
          <a:r>
            <a:rPr lang="en-US" sz="2000">
              <a:latin typeface="Arial" panose="020B0604020202020204" pitchFamily="34" charset="0"/>
              <a:cs typeface="Arial" panose="020B0604020202020204" pitchFamily="34" charset="0"/>
            </a:rPr>
            <a:t>What is the annual shipping fee cost across different regions? </a:t>
          </a:r>
        </a:p>
        <a:p>
          <a:pPr algn="l"/>
          <a:r>
            <a:rPr lang="en-US" sz="2000">
              <a:latin typeface="Arial" panose="020B0604020202020204" pitchFamily="34" charset="0"/>
              <a:cs typeface="Arial" panose="020B0604020202020204" pitchFamily="34" charset="0"/>
            </a:rPr>
            <a:t>Expected Insight:Shipping costs may vary significantly by region due to distance, order volume, and logistics infrastructure. </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14. </a:t>
          </a:r>
          <a:r>
            <a:rPr lang="en-US" sz="2000">
              <a:latin typeface="Arial" panose="020B0604020202020204" pitchFamily="34" charset="0"/>
              <a:cs typeface="Arial" panose="020B0604020202020204" pitchFamily="34" charset="0"/>
            </a:rPr>
            <a:t>Which sales person is the least performing based on revenue generated?</a:t>
          </a:r>
        </a:p>
        <a:p>
          <a:pPr algn="l"/>
          <a:r>
            <a:rPr lang="en-US" sz="2000">
              <a:latin typeface="Arial" panose="020B0604020202020204" pitchFamily="34" charset="0"/>
              <a:cs typeface="Arial" panose="020B0604020202020204" pitchFamily="34" charset="0"/>
            </a:rPr>
            <a:t> 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Low-performing sales persons may require additional training, support, or reassignment to improve performance.</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15. </a:t>
          </a:r>
          <a:r>
            <a:rPr lang="en-US" sz="2000">
              <a:latin typeface="Arial" panose="020B0604020202020204" pitchFamily="34" charset="0"/>
              <a:cs typeface="Arial" panose="020B0604020202020204" pitchFamily="34" charset="0"/>
            </a:rPr>
            <a:t>Which customer generates the highest profit? </a:t>
          </a:r>
        </a:p>
        <a:p>
          <a:pPr algn="l"/>
          <a:r>
            <a:rPr lang="en-US" sz="2000">
              <a:latin typeface="Arial" panose="020B0604020202020204" pitchFamily="34" charset="0"/>
              <a:cs typeface="Arial" panose="020B0604020202020204" pitchFamily="34" charset="0"/>
            </a:rPr>
            <a:t>Expected Insight:Highly profitable customers may purchase high-margin products or place large, recurring orders.</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16. </a:t>
          </a:r>
          <a:r>
            <a:rPr lang="en-US" sz="2000">
              <a:latin typeface="Arial" panose="020B0604020202020204" pitchFamily="34" charset="0"/>
              <a:cs typeface="Arial" panose="020B0604020202020204" pitchFamily="34" charset="0"/>
            </a:rPr>
            <a:t>Which sales person generates the highest profit? </a:t>
          </a:r>
        </a:p>
        <a:p>
          <a:pPr algn="l"/>
          <a:r>
            <a:rPr lang="en-US" sz="2000">
              <a:latin typeface="Arial" panose="020B0604020202020204" pitchFamily="34" charset="0"/>
              <a:cs typeface="Arial" panose="020B0604020202020204" pitchFamily="34" charset="0"/>
            </a:rPr>
            <a:t>Expected Insight: Sales persons with the highest profit contribution may focus on selling high-margin products or premium customers.</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17. </a:t>
          </a:r>
          <a:r>
            <a:rPr lang="en-US" sz="2000">
              <a:latin typeface="Arial" panose="020B0604020202020204" pitchFamily="34" charset="0"/>
              <a:cs typeface="Arial" panose="020B0604020202020204" pitchFamily="34" charset="0"/>
            </a:rPr>
            <a:t>Which product generates the highest profit? </a:t>
          </a:r>
        </a:p>
        <a:p>
          <a:pPr algn="l"/>
          <a:r>
            <a:rPr lang="en-US" sz="2000">
              <a:latin typeface="Arial" panose="020B0604020202020204" pitchFamily="34" charset="0"/>
              <a:cs typeface="Arial" panose="020B0604020202020204" pitchFamily="34" charset="0"/>
            </a:rPr>
            <a:t>Expected Insight:</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Highly profitable products may combine strong demand with high margins, making them key drivers of business growth.</a:t>
          </a:r>
        </a:p>
        <a:p>
          <a:pPr algn="l"/>
          <a:endParaRPr lang="en-US" sz="2000" b="1" baseline="0">
            <a:latin typeface="Arial" panose="020B0604020202020204" pitchFamily="34" charset="0"/>
            <a:cs typeface="Arial" panose="020B0604020202020204" pitchFamily="34" charset="0"/>
          </a:endParaRPr>
        </a:p>
        <a:p>
          <a:pPr algn="l"/>
          <a:r>
            <a:rPr lang="en-US" sz="2000" b="1" baseline="0">
              <a:latin typeface="Arial" panose="020B0604020202020204" pitchFamily="34" charset="0"/>
              <a:cs typeface="Arial" panose="020B0604020202020204" pitchFamily="34" charset="0"/>
            </a:rPr>
            <a:t>18. </a:t>
          </a:r>
          <a:r>
            <a:rPr lang="en-US" sz="2000">
              <a:latin typeface="Arial" panose="020B0604020202020204" pitchFamily="34" charset="0"/>
              <a:cs typeface="Arial" panose="020B0604020202020204" pitchFamily="34" charset="0"/>
            </a:rPr>
            <a:t>Which region has the lowest performance based on total revenue generated? </a:t>
          </a:r>
        </a:p>
        <a:p>
          <a:pPr algn="l"/>
          <a:r>
            <a:rPr lang="en-US" sz="2000">
              <a:latin typeface="Arial" panose="020B0604020202020204" pitchFamily="34" charset="0"/>
              <a:cs typeface="Arial" panose="020B0604020202020204" pitchFamily="34" charset="0"/>
            </a:rPr>
            <a:t>Expected Insight:Low-performing regions may indicate untapped markets, weak distribution networks, or the need for targeted marketing strategies.</a:t>
          </a:r>
          <a:endParaRPr lang="en-US" sz="2000" b="1" baseline="0">
            <a:latin typeface="Arial" panose="020B0604020202020204" pitchFamily="34" charset="0"/>
            <a:cs typeface="Arial" panose="020B0604020202020204" pitchFamily="34" charset="0"/>
          </a:endParaRPr>
        </a:p>
        <a:p>
          <a:pPr algn="ctr"/>
          <a:endParaRPr lang="en-US" sz="2000" b="1" baseline="0">
            <a:latin typeface="Arial" panose="020B0604020202020204" pitchFamily="34" charset="0"/>
            <a:cs typeface="Arial" panose="020B0604020202020204" pitchFamily="34" charset="0"/>
          </a:endParaRPr>
        </a:p>
        <a:p>
          <a:pPr algn="l"/>
          <a:endParaRPr lang="en-US" sz="900" b="1" baseline="0">
            <a:latin typeface="Arial" panose="020B0604020202020204" pitchFamily="34" charset="0"/>
            <a:cs typeface="Arial" panose="020B0604020202020204" pitchFamily="34" charset="0"/>
          </a:endParaRPr>
        </a:p>
      </xdr:txBody>
    </xdr:sp>
    <xdr:clientData/>
  </xdr:twoCellAnchor>
  <xdr:twoCellAnchor>
    <xdr:from>
      <xdr:col>0</xdr:col>
      <xdr:colOff>239426</xdr:colOff>
      <xdr:row>61</xdr:row>
      <xdr:rowOff>143239</xdr:rowOff>
    </xdr:from>
    <xdr:to>
      <xdr:col>11</xdr:col>
      <xdr:colOff>510081</xdr:colOff>
      <xdr:row>112</xdr:row>
      <xdr:rowOff>52049</xdr:rowOff>
    </xdr:to>
    <xdr:sp macro="" textlink="">
      <xdr:nvSpPr>
        <xdr:cNvPr id="4" name="Rectangle: Rounded Corners 3">
          <a:extLst>
            <a:ext uri="{FF2B5EF4-FFF2-40B4-BE49-F238E27FC236}">
              <a16:creationId xmlns:a16="http://schemas.microsoft.com/office/drawing/2014/main" id="{BA550257-77A9-441F-A3F4-DD9AFCA6800E}"/>
            </a:ext>
          </a:extLst>
        </xdr:cNvPr>
        <xdr:cNvSpPr/>
      </xdr:nvSpPr>
      <xdr:spPr>
        <a:xfrm>
          <a:off x="239426" y="11573239"/>
          <a:ext cx="7026639" cy="9465040"/>
        </a:xfrm>
        <a:prstGeom prst="roundRect">
          <a:avLst>
            <a:gd name="adj" fmla="val 587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rial" panose="020B0604020202020204" pitchFamily="34" charset="0"/>
              <a:cs typeface="Arial" panose="020B0604020202020204" pitchFamily="34" charset="0"/>
            </a:rPr>
            <a:t>Data Story</a:t>
          </a:r>
        </a:p>
        <a:p>
          <a:pPr algn="ctr"/>
          <a:endParaRPr lang="en-US" sz="2000" b="1" baseline="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000">
              <a:latin typeface="Arial" panose="020B0604020202020204" pitchFamily="34" charset="0"/>
              <a:cs typeface="Arial" panose="020B0604020202020204" pitchFamily="34" charset="0"/>
            </a:rPr>
            <a:t>The dataset presents a firm’s sales activities across different products, customers, sales representatives, and geographical locations including countries, regions, and cities. It captures information on quantities sold, revenue and profit generated, shipping methods and fees, and payment types. The data shows how sales performance varies by product, customer, region, and salesperson, providing insights into key revenue drivers and areas for improvement in the company’s sales operations.</a:t>
          </a:r>
        </a:p>
        <a:p>
          <a:pPr algn="l"/>
          <a:endParaRPr lang="en-US" sz="2000" b="1" baseline="0">
            <a:latin typeface="Arial" panose="020B0604020202020204" pitchFamily="34" charset="0"/>
            <a:cs typeface="Arial" panose="020B0604020202020204" pitchFamily="34" charset="0"/>
          </a:endParaRPr>
        </a:p>
        <a:p>
          <a:pPr algn="ctr"/>
          <a:r>
            <a:rPr lang="en-US" sz="2000" b="1" baseline="0">
              <a:latin typeface="Arial" panose="020B0604020202020204" pitchFamily="34" charset="0"/>
              <a:cs typeface="Arial" panose="020B0604020202020204" pitchFamily="34" charset="0"/>
            </a:rPr>
            <a:t>Industry Type</a:t>
          </a:r>
        </a:p>
        <a:p>
          <a:pPr algn="l"/>
          <a:endParaRPr lang="en-US" sz="2000" b="1" baseline="0">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1.Sales and Marketing Industry</a:t>
          </a:r>
          <a:endParaRPr lang="en-US" sz="2000">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2.Wholesale and Distribution Industry</a:t>
          </a:r>
          <a:endParaRPr lang="en-US" sz="2000">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3.Commercial Trading  Industry</a:t>
          </a:r>
        </a:p>
        <a:p>
          <a:endParaRPr lang="en-US" sz="2000" b="1">
            <a:latin typeface="Arial" panose="020B0604020202020204" pitchFamily="34" charset="0"/>
            <a:cs typeface="Arial" panose="020B0604020202020204" pitchFamily="34" charset="0"/>
          </a:endParaRPr>
        </a:p>
        <a:p>
          <a:pPr algn="ctr"/>
          <a:r>
            <a:rPr lang="en-US" sz="2000" b="1">
              <a:latin typeface="Arial" panose="020B0604020202020204" pitchFamily="34" charset="0"/>
              <a:cs typeface="Arial" panose="020B0604020202020204" pitchFamily="34" charset="0"/>
            </a:rPr>
            <a:t>Stakeholders</a:t>
          </a:r>
        </a:p>
        <a:p>
          <a:pPr algn="l"/>
          <a:r>
            <a:rPr lang="en-US" sz="2000">
              <a:latin typeface="Arial" panose="020B0604020202020204" pitchFamily="34" charset="0"/>
              <a:cs typeface="Arial" panose="020B0604020202020204" pitchFamily="34" charset="0"/>
            </a:rPr>
            <a:t>1.Chief Executives</a:t>
          </a:r>
        </a:p>
        <a:p>
          <a:pPr algn="l"/>
          <a:r>
            <a:rPr lang="en-US" sz="2000">
              <a:latin typeface="Arial" panose="020B0604020202020204" pitchFamily="34" charset="0"/>
              <a:cs typeface="Arial" panose="020B0604020202020204" pitchFamily="34" charset="0"/>
            </a:rPr>
            <a:t>2.Sales Managers</a:t>
          </a:r>
        </a:p>
        <a:p>
          <a:pPr algn="l"/>
          <a:r>
            <a:rPr lang="en-US" sz="2000">
              <a:latin typeface="Arial" panose="020B0604020202020204" pitchFamily="34" charset="0"/>
              <a:cs typeface="Arial" panose="020B0604020202020204" pitchFamily="34" charset="0"/>
            </a:rPr>
            <a:t>3.Regional Managers</a:t>
          </a:r>
        </a:p>
        <a:p>
          <a:pPr algn="l"/>
          <a:endParaRPr lang="en-US" sz="2000" b="1">
            <a:latin typeface="Arial" panose="020B0604020202020204" pitchFamily="34" charset="0"/>
            <a:cs typeface="Arial" panose="020B0604020202020204" pitchFamily="34" charset="0"/>
          </a:endParaRPr>
        </a:p>
        <a:p>
          <a:pPr algn="ctr"/>
          <a:r>
            <a:rPr lang="en-US" sz="2000" b="1">
              <a:latin typeface="Arial" panose="020B0604020202020204" pitchFamily="34" charset="0"/>
              <a:cs typeface="Arial" panose="020B0604020202020204" pitchFamily="34" charset="0"/>
            </a:rPr>
            <a:t> What success</a:t>
          </a:r>
          <a:r>
            <a:rPr lang="en-US" sz="2000" b="1" baseline="0">
              <a:latin typeface="Arial" panose="020B0604020202020204" pitchFamily="34" charset="0"/>
              <a:cs typeface="Arial" panose="020B0604020202020204" pitchFamily="34" charset="0"/>
            </a:rPr>
            <a:t> Means to this Industry</a:t>
          </a:r>
        </a:p>
        <a:p>
          <a:pPr algn="l"/>
          <a:r>
            <a:rPr lang="en-US" sz="2000">
              <a:latin typeface="Arial" panose="020B0604020202020204" pitchFamily="34" charset="0"/>
              <a:cs typeface="Arial" panose="020B0604020202020204" pitchFamily="34" charset="0"/>
            </a:rPr>
            <a:t>1.Consistent growth in sales revenue and profitability</a:t>
          </a:r>
        </a:p>
        <a:p>
          <a:pPr algn="l"/>
          <a:r>
            <a:rPr lang="en-US" sz="2000">
              <a:latin typeface="Arial" panose="020B0604020202020204" pitchFamily="34" charset="0"/>
              <a:cs typeface="Arial" panose="020B0604020202020204" pitchFamily="34" charset="0"/>
            </a:rPr>
            <a:t>2.High customer satisfaction and retention</a:t>
          </a:r>
        </a:p>
        <a:p>
          <a:pPr algn="l"/>
          <a:r>
            <a:rPr lang="en-US" sz="2000">
              <a:latin typeface="Arial" panose="020B0604020202020204" pitchFamily="34" charset="0"/>
              <a:cs typeface="Arial" panose="020B0604020202020204" pitchFamily="34" charset="0"/>
            </a:rPr>
            <a:t>3.strong performance across regions and cities</a:t>
          </a:r>
        </a:p>
        <a:p>
          <a:pPr algn="l"/>
          <a:r>
            <a:rPr lang="en-US" sz="2000">
              <a:latin typeface="Arial" panose="020B0604020202020204" pitchFamily="34" charset="0"/>
              <a:cs typeface="Arial" panose="020B0604020202020204" pitchFamily="34" charset="0"/>
            </a:rPr>
            <a:t>4.Effective and productive sales representatives Performance.</a:t>
          </a:r>
        </a:p>
        <a:p>
          <a:pPr algn="l"/>
          <a:r>
            <a:rPr lang="en-US" sz="2000">
              <a:latin typeface="Arial" panose="020B0604020202020204" pitchFamily="34" charset="0"/>
              <a:cs typeface="Arial" panose="020B0604020202020204" pitchFamily="34" charset="0"/>
            </a:rPr>
            <a:t>5.Efficient delivery of products to customers.</a:t>
          </a:r>
        </a:p>
        <a:p>
          <a:pPr algn="l"/>
          <a:endParaRPr lang="en-US" sz="1400"/>
        </a:p>
        <a:p>
          <a:pPr algn="l"/>
          <a:endParaRPr lang="en-US" sz="1400"/>
        </a:p>
        <a:p>
          <a:pPr algn="l"/>
          <a:endParaRPr lang="en-US" sz="1400"/>
        </a:p>
        <a:p>
          <a:pPr algn="l"/>
          <a:endParaRPr lang="en-US" sz="1400" b="1" baseline="0"/>
        </a:p>
        <a:p>
          <a:pPr algn="l"/>
          <a:endParaRPr lang="en-US" sz="1400" b="1"/>
        </a:p>
        <a:p>
          <a:endParaRPr lang="en-US" sz="1200" b="1"/>
        </a:p>
        <a:p>
          <a:endParaRPr lang="en-US" sz="1200"/>
        </a:p>
        <a:p>
          <a:pPr algn="l"/>
          <a:endParaRPr lang="en-US" sz="1200" b="1" baseline="0">
            <a:latin typeface="Arial" panose="020B0604020202020204" pitchFamily="34" charset="0"/>
            <a:cs typeface="Arial" panose="020B0604020202020204" pitchFamily="34" charset="0"/>
          </a:endParaRPr>
        </a:p>
        <a:p>
          <a:pPr algn="l"/>
          <a:endParaRPr lang="en-US" sz="900" b="1" baseline="0">
            <a:latin typeface="Arial" panose="020B0604020202020204" pitchFamily="34" charset="0"/>
            <a:cs typeface="Arial" panose="020B0604020202020204" pitchFamily="34" charset="0"/>
          </a:endParaRPr>
        </a:p>
      </xdr:txBody>
    </xdr:sp>
    <xdr:clientData/>
  </xdr:twoCellAnchor>
  <xdr:twoCellAnchor>
    <xdr:from>
      <xdr:col>0</xdr:col>
      <xdr:colOff>0</xdr:colOff>
      <xdr:row>115</xdr:row>
      <xdr:rowOff>156460</xdr:rowOff>
    </xdr:from>
    <xdr:to>
      <xdr:col>11</xdr:col>
      <xdr:colOff>576080</xdr:colOff>
      <xdr:row>210</xdr:row>
      <xdr:rowOff>145738</xdr:rowOff>
    </xdr:to>
    <xdr:sp macro="" textlink="">
      <xdr:nvSpPr>
        <xdr:cNvPr id="5" name="Rectangle: Rounded Corners 4">
          <a:extLst>
            <a:ext uri="{FF2B5EF4-FFF2-40B4-BE49-F238E27FC236}">
              <a16:creationId xmlns:a16="http://schemas.microsoft.com/office/drawing/2014/main" id="{25D75768-B025-43F6-B500-C07464756009}"/>
            </a:ext>
          </a:extLst>
        </xdr:cNvPr>
        <xdr:cNvSpPr/>
      </xdr:nvSpPr>
      <xdr:spPr>
        <a:xfrm>
          <a:off x="0" y="21704821"/>
          <a:ext cx="7332064" cy="17790097"/>
        </a:xfrm>
        <a:prstGeom prst="roundRect">
          <a:avLst>
            <a:gd name="adj" fmla="val 530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rial" panose="020B0604020202020204" pitchFamily="34" charset="0"/>
              <a:cs typeface="Arial" panose="020B0604020202020204" pitchFamily="34" charset="0"/>
            </a:rPr>
            <a:t>Potential Questions/Task's Check</a:t>
          </a:r>
        </a:p>
        <a:p>
          <a:pPr algn="ctr"/>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1.Which sales person generated the highest revenue?(</a:t>
          </a:r>
          <a:r>
            <a:rPr lang="en-US" sz="2000" b="1">
              <a:solidFill>
                <a:schemeClr val="lt1"/>
              </a:solidFill>
              <a:effectLst/>
              <a:latin typeface="Arial" panose="020B0604020202020204" pitchFamily="34" charset="0"/>
              <a:ea typeface="+mn-ea"/>
              <a:cs typeface="Arial" panose="020B0604020202020204" pitchFamily="34" charset="0"/>
            </a:rPr>
            <a:t>Salesperson/Revenue)</a:t>
          </a:r>
        </a:p>
        <a:p>
          <a:endParaRPr lang="en-US" sz="2000" b="1">
            <a:solidFill>
              <a:schemeClr val="lt1"/>
            </a:solidFill>
            <a:effectLst/>
            <a:latin typeface="Arial" panose="020B0604020202020204" pitchFamily="34" charset="0"/>
            <a:ea typeface="+mn-ea"/>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2.</a:t>
          </a:r>
          <a:r>
            <a:rPr lang="en-US" sz="2000" b="1" baseline="0">
              <a:solidFill>
                <a:schemeClr val="lt1"/>
              </a:solidFill>
              <a:effectLst/>
              <a:latin typeface="Arial" panose="020B0604020202020204" pitchFamily="34" charset="0"/>
              <a:ea typeface="+mn-ea"/>
              <a:cs typeface="Arial" panose="020B0604020202020204" pitchFamily="34" charset="0"/>
            </a:rPr>
            <a:t> </a:t>
          </a:r>
          <a:r>
            <a:rPr lang="en-US" sz="2000" b="1">
              <a:latin typeface="Arial" panose="020B0604020202020204" pitchFamily="34" charset="0"/>
              <a:cs typeface="Arial" panose="020B0604020202020204" pitchFamily="34" charset="0"/>
            </a:rPr>
            <a:t>Which sales person recorded the highest quantity sold? (</a:t>
          </a:r>
          <a:r>
            <a:rPr lang="en-US" sz="2000" b="1">
              <a:solidFill>
                <a:schemeClr val="lt1"/>
              </a:solidFill>
              <a:effectLst/>
              <a:latin typeface="Arial" panose="020B0604020202020204" pitchFamily="34" charset="0"/>
              <a:ea typeface="+mn-ea"/>
              <a:cs typeface="Arial" panose="020B0604020202020204" pitchFamily="34" charset="0"/>
            </a:rPr>
            <a:t>Salesperson/Quantity Sold)</a:t>
          </a:r>
        </a:p>
        <a:p>
          <a:endParaRPr lang="en-US" sz="2000" b="1">
            <a:solidFill>
              <a:schemeClr val="lt1"/>
            </a:solidFill>
            <a:effectLst/>
            <a:latin typeface="Arial" panose="020B0604020202020204" pitchFamily="34" charset="0"/>
            <a:ea typeface="+mn-ea"/>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3.</a:t>
          </a:r>
          <a:r>
            <a:rPr lang="en-US" sz="2000" b="1" baseline="0">
              <a:solidFill>
                <a:schemeClr val="lt1"/>
              </a:solidFill>
              <a:effectLst/>
              <a:latin typeface="Arial" panose="020B0604020202020204" pitchFamily="34" charset="0"/>
              <a:ea typeface="+mn-ea"/>
              <a:cs typeface="Arial" panose="020B0604020202020204" pitchFamily="34" charset="0"/>
            </a:rPr>
            <a:t> </a:t>
          </a:r>
          <a:r>
            <a:rPr lang="en-US" sz="2000" b="1">
              <a:latin typeface="Arial" panose="020B0604020202020204" pitchFamily="34" charset="0"/>
              <a:cs typeface="Arial" panose="020B0604020202020204" pitchFamily="34" charset="0"/>
            </a:rPr>
            <a:t>Who is the best performing sales person based on quantity sold?</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a:t>
          </a:r>
          <a:r>
            <a:rPr lang="en-US" sz="2000" b="1">
              <a:solidFill>
                <a:schemeClr val="lt1"/>
              </a:solidFill>
              <a:effectLst/>
              <a:latin typeface="Arial" panose="020B0604020202020204" pitchFamily="34" charset="0"/>
              <a:ea typeface="+mn-ea"/>
              <a:cs typeface="Arial" panose="020B0604020202020204" pitchFamily="34" charset="0"/>
            </a:rPr>
            <a:t>Salesperson/Quantity Sold)</a:t>
          </a:r>
        </a:p>
        <a:p>
          <a:endParaRPr lang="en-US" sz="2000" b="1">
            <a:solidFill>
              <a:schemeClr val="lt1"/>
            </a:solidFill>
            <a:effectLst/>
            <a:latin typeface="Arial" panose="020B0604020202020204" pitchFamily="34" charset="0"/>
            <a:ea typeface="+mn-ea"/>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4.</a:t>
          </a:r>
          <a:r>
            <a:rPr lang="en-US" sz="2000" b="1" baseline="0">
              <a:solidFill>
                <a:schemeClr val="lt1"/>
              </a:solidFill>
              <a:effectLst/>
              <a:latin typeface="Arial" panose="020B0604020202020204" pitchFamily="34" charset="0"/>
              <a:ea typeface="+mn-ea"/>
              <a:cs typeface="Arial" panose="020B0604020202020204" pitchFamily="34" charset="0"/>
            </a:rPr>
            <a:t> </a:t>
          </a:r>
          <a:r>
            <a:rPr lang="en-US" sz="2000" b="1">
              <a:latin typeface="Arial" panose="020B0604020202020204" pitchFamily="34" charset="0"/>
              <a:cs typeface="Arial" panose="020B0604020202020204" pitchFamily="34" charset="0"/>
            </a:rPr>
            <a:t>Which region recorded the lowest revenue generated?( </a:t>
          </a:r>
          <a:r>
            <a:rPr lang="en-US" sz="2000" b="1">
              <a:solidFill>
                <a:schemeClr val="lt1"/>
              </a:solidFill>
              <a:effectLst/>
              <a:latin typeface="Arial" panose="020B0604020202020204" pitchFamily="34" charset="0"/>
              <a:ea typeface="+mn-ea"/>
              <a:cs typeface="Arial" panose="020B0604020202020204" pitchFamily="34" charset="0"/>
            </a:rPr>
            <a:t>Region/ Revenue)</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5.</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country recorded the lowest total shipping fee? ( </a:t>
          </a:r>
          <a:r>
            <a:rPr lang="en-US" sz="2000" b="1">
              <a:solidFill>
                <a:schemeClr val="lt1"/>
              </a:solidFill>
              <a:effectLst/>
              <a:latin typeface="Arial" panose="020B0604020202020204" pitchFamily="34" charset="0"/>
              <a:ea typeface="+mn-ea"/>
              <a:cs typeface="Arial" panose="020B0604020202020204" pitchFamily="34" charset="0"/>
            </a:rPr>
            <a:t>Country / Shipping Fee)</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6.</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customer generated the highest revenue? ( </a:t>
          </a:r>
          <a:r>
            <a:rPr lang="en-US" sz="2000" b="1">
              <a:solidFill>
                <a:schemeClr val="lt1"/>
              </a:solidFill>
              <a:effectLst/>
              <a:latin typeface="Arial" panose="020B0604020202020204" pitchFamily="34" charset="0"/>
              <a:ea typeface="+mn-ea"/>
              <a:cs typeface="Arial" panose="020B0604020202020204" pitchFamily="34" charset="0"/>
            </a:rPr>
            <a:t>Customer / Revenue)</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7.</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customer purchased the highest quantity of products? ( </a:t>
          </a:r>
          <a:r>
            <a:rPr lang="en-US" sz="2000" b="1">
              <a:solidFill>
                <a:schemeClr val="lt1"/>
              </a:solidFill>
              <a:effectLst/>
              <a:latin typeface="Arial" panose="020B0604020202020204" pitchFamily="34" charset="0"/>
              <a:ea typeface="+mn-ea"/>
              <a:cs typeface="Arial" panose="020B0604020202020204" pitchFamily="34" charset="0"/>
            </a:rPr>
            <a:t>Customer/Quantity Sold)</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8.</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product recorded the lowest quantity sold? ( </a:t>
          </a:r>
          <a:r>
            <a:rPr lang="en-US" sz="2000" b="1">
              <a:solidFill>
                <a:schemeClr val="lt1"/>
              </a:solidFill>
              <a:effectLst/>
              <a:latin typeface="Arial" panose="020B0604020202020204" pitchFamily="34" charset="0"/>
              <a:ea typeface="+mn-ea"/>
              <a:cs typeface="Arial" panose="020B0604020202020204" pitchFamily="34" charset="0"/>
            </a:rPr>
            <a:t>Product / : Quantity Sold)</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9.</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product recorded the lowest shipping fee? ( </a:t>
          </a:r>
          <a:r>
            <a:rPr lang="en-US" sz="2000" b="1">
              <a:solidFill>
                <a:schemeClr val="lt1"/>
              </a:solidFill>
              <a:effectLst/>
              <a:latin typeface="Arial" panose="020B0604020202020204" pitchFamily="34" charset="0"/>
              <a:ea typeface="+mn-ea"/>
              <a:cs typeface="Arial" panose="020B0604020202020204" pitchFamily="34" charset="0"/>
            </a:rPr>
            <a:t>Product / Shipping Fee)</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10.</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product or product category has the highest unit price? ( </a:t>
          </a:r>
          <a:r>
            <a:rPr lang="en-US" sz="2000" b="1">
              <a:solidFill>
                <a:schemeClr val="lt1"/>
              </a:solidFill>
              <a:effectLst/>
              <a:latin typeface="Arial" panose="020B0604020202020204" pitchFamily="34" charset="0"/>
              <a:ea typeface="+mn-ea"/>
              <a:cs typeface="Arial" panose="020B0604020202020204" pitchFamily="34" charset="0"/>
            </a:rPr>
            <a:t>Product/Product Category / Unit Price)</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11.</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customer is the most consistent based on the number of purchase transactions? (</a:t>
          </a:r>
          <a:r>
            <a:rPr lang="en-US" sz="2000" b="1">
              <a:solidFill>
                <a:schemeClr val="lt1"/>
              </a:solidFill>
              <a:effectLst/>
              <a:latin typeface="Arial" panose="020B0604020202020204" pitchFamily="34" charset="0"/>
              <a:ea typeface="+mn-ea"/>
              <a:cs typeface="Arial" panose="020B0604020202020204" pitchFamily="34" charset="0"/>
            </a:rPr>
            <a:t>Customer/ Number of Transactions)</a:t>
          </a:r>
        </a:p>
        <a:p>
          <a:endParaRPr lang="en-US" sz="2000" b="1">
            <a:solidFill>
              <a:schemeClr val="lt1"/>
            </a:solidFill>
            <a:effectLst/>
            <a:latin typeface="Arial" panose="020B0604020202020204" pitchFamily="34" charset="0"/>
            <a:ea typeface="+mn-ea"/>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12. </a:t>
          </a:r>
          <a:r>
            <a:rPr lang="en-US" sz="2000" b="1">
              <a:latin typeface="Arial" panose="020B0604020202020204" pitchFamily="34" charset="0"/>
              <a:cs typeface="Arial" panose="020B0604020202020204" pitchFamily="34" charset="0"/>
            </a:rPr>
            <a:t>Which region records the best payment type performance? ( </a:t>
          </a:r>
          <a:r>
            <a:rPr lang="en-US" sz="2000" b="1">
              <a:solidFill>
                <a:schemeClr val="lt1"/>
              </a:solidFill>
              <a:effectLst/>
              <a:latin typeface="Arial" panose="020B0604020202020204" pitchFamily="34" charset="0"/>
              <a:ea typeface="+mn-ea"/>
              <a:cs typeface="Arial" panose="020B0604020202020204" pitchFamily="34" charset="0"/>
            </a:rPr>
            <a:t>Region / Payment Type Performance )</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13.</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What is the annual shipping fee cost across different regions? ( </a:t>
          </a:r>
          <a:r>
            <a:rPr lang="en-US" sz="2000" b="1">
              <a:solidFill>
                <a:schemeClr val="lt1"/>
              </a:solidFill>
              <a:effectLst/>
              <a:latin typeface="Arial" panose="020B0604020202020204" pitchFamily="34" charset="0"/>
              <a:ea typeface="+mn-ea"/>
              <a:cs typeface="Arial" panose="020B0604020202020204" pitchFamily="34" charset="0"/>
            </a:rPr>
            <a:t>Region/ Annual Shipping Fee)</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14.</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sales person is the least performing based on revenue generated? ( </a:t>
          </a:r>
          <a:r>
            <a:rPr lang="en-US" sz="2000" b="1">
              <a:solidFill>
                <a:schemeClr val="lt1"/>
              </a:solidFill>
              <a:effectLst/>
              <a:latin typeface="Arial" panose="020B0604020202020204" pitchFamily="34" charset="0"/>
              <a:ea typeface="+mn-ea"/>
              <a:cs typeface="Arial" panose="020B0604020202020204" pitchFamily="34" charset="0"/>
            </a:rPr>
            <a:t>Salesperson/ Revenue)</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15.</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customer generates the highest profit? ( </a:t>
          </a:r>
          <a:r>
            <a:rPr lang="en-US" sz="2000" b="1">
              <a:solidFill>
                <a:schemeClr val="lt1"/>
              </a:solidFill>
              <a:effectLst/>
              <a:latin typeface="Arial" panose="020B0604020202020204" pitchFamily="34" charset="0"/>
              <a:ea typeface="+mn-ea"/>
              <a:cs typeface="Arial" panose="020B0604020202020204" pitchFamily="34" charset="0"/>
            </a:rPr>
            <a:t>Customer / Profit)</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16. Which sales person generates the highest profit? (  </a:t>
          </a:r>
          <a:r>
            <a:rPr lang="en-US" sz="2000" b="1">
              <a:solidFill>
                <a:schemeClr val="lt1"/>
              </a:solidFill>
              <a:effectLst/>
              <a:latin typeface="Arial" panose="020B0604020202020204" pitchFamily="34" charset="0"/>
              <a:ea typeface="+mn-ea"/>
              <a:cs typeface="Arial" panose="020B0604020202020204" pitchFamily="34" charset="0"/>
            </a:rPr>
            <a:t>Salesperson / Profit)</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17.</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product generates the highest profit? ( </a:t>
          </a:r>
          <a:r>
            <a:rPr lang="en-US" sz="2000" b="1">
              <a:solidFill>
                <a:schemeClr val="lt1"/>
              </a:solidFill>
              <a:effectLst/>
              <a:latin typeface="Arial" panose="020B0604020202020204" pitchFamily="34" charset="0"/>
              <a:ea typeface="+mn-ea"/>
              <a:cs typeface="Arial" panose="020B0604020202020204" pitchFamily="34" charset="0"/>
            </a:rPr>
            <a:t>Product / Profit)</a:t>
          </a:r>
          <a:endParaRPr lang="en-US" sz="2000" b="1">
            <a:latin typeface="Arial" panose="020B0604020202020204" pitchFamily="34" charset="0"/>
            <a:cs typeface="Arial" panose="020B0604020202020204" pitchFamily="34" charset="0"/>
          </a:endParaRPr>
        </a:p>
        <a:p>
          <a:endParaRPr lang="en-US" sz="2000" b="1">
            <a:latin typeface="Arial" panose="020B0604020202020204" pitchFamily="34" charset="0"/>
            <a:cs typeface="Arial" panose="020B0604020202020204" pitchFamily="34" charset="0"/>
          </a:endParaRPr>
        </a:p>
        <a:p>
          <a:r>
            <a:rPr lang="en-US" sz="2000" b="1">
              <a:latin typeface="Arial" panose="020B0604020202020204" pitchFamily="34" charset="0"/>
              <a:cs typeface="Arial" panose="020B0604020202020204" pitchFamily="34" charset="0"/>
            </a:rPr>
            <a:t>18.</a:t>
          </a:r>
          <a:r>
            <a:rPr lang="en-US" sz="2000" b="1" baseline="0">
              <a:latin typeface="Arial" panose="020B0604020202020204" pitchFamily="34" charset="0"/>
              <a:cs typeface="Arial" panose="020B0604020202020204" pitchFamily="34" charset="0"/>
            </a:rPr>
            <a:t> </a:t>
          </a:r>
          <a:r>
            <a:rPr lang="en-US" sz="2000" b="1">
              <a:latin typeface="Arial" panose="020B0604020202020204" pitchFamily="34" charset="0"/>
              <a:cs typeface="Arial" panose="020B0604020202020204" pitchFamily="34" charset="0"/>
            </a:rPr>
            <a:t>Which region has the lowest performance based on total revenue generated? ( </a:t>
          </a:r>
          <a:r>
            <a:rPr lang="en-US" sz="2000" b="1">
              <a:solidFill>
                <a:schemeClr val="lt1"/>
              </a:solidFill>
              <a:effectLst/>
              <a:latin typeface="Arial" panose="020B0604020202020204" pitchFamily="34" charset="0"/>
              <a:ea typeface="+mn-ea"/>
              <a:cs typeface="Arial" panose="020B0604020202020204" pitchFamily="34" charset="0"/>
            </a:rPr>
            <a:t>Region / Revenue)</a:t>
          </a:r>
          <a:endParaRPr lang="en-US" sz="2000" b="1">
            <a:latin typeface="Arial" panose="020B0604020202020204" pitchFamily="34" charset="0"/>
            <a:cs typeface="Arial" panose="020B0604020202020204" pitchFamily="34" charset="0"/>
          </a:endParaRPr>
        </a:p>
        <a:p>
          <a:endParaRPr lang="en-US" sz="2000">
            <a:latin typeface="Arial" panose="020B0604020202020204" pitchFamily="34" charset="0"/>
            <a:cs typeface="Arial" panose="020B0604020202020204" pitchFamily="34" charset="0"/>
          </a:endParaRPr>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pPr algn="l"/>
          <a:endParaRPr lang="en-US" sz="1600" b="1">
            <a:latin typeface="Arial" panose="020B0604020202020204" pitchFamily="34" charset="0"/>
            <a:cs typeface="Arial" panose="020B0604020202020204" pitchFamily="34" charset="0"/>
          </a:endParaRPr>
        </a:p>
        <a:p>
          <a:pPr algn="ctr"/>
          <a:endParaRPr lang="en-US" sz="1200" b="1" baseline="0">
            <a:latin typeface="Arial" panose="020B0604020202020204" pitchFamily="34" charset="0"/>
            <a:cs typeface="Arial" panose="020B0604020202020204" pitchFamily="34" charset="0"/>
          </a:endParaRPr>
        </a:p>
        <a:p>
          <a:pPr algn="l"/>
          <a:endParaRPr lang="en-US" sz="1400" b="1" baseline="0"/>
        </a:p>
        <a:p>
          <a:pPr algn="l"/>
          <a:endParaRPr lang="en-US" sz="1400" b="1"/>
        </a:p>
        <a:p>
          <a:endParaRPr lang="en-US" sz="1200" b="1"/>
        </a:p>
        <a:p>
          <a:endParaRPr lang="en-US" sz="1200"/>
        </a:p>
        <a:p>
          <a:pPr algn="l"/>
          <a:endParaRPr lang="en-US" sz="1200" b="1" baseline="0">
            <a:latin typeface="Arial" panose="020B0604020202020204" pitchFamily="34" charset="0"/>
            <a:cs typeface="Arial" panose="020B0604020202020204" pitchFamily="34" charset="0"/>
          </a:endParaRPr>
        </a:p>
        <a:p>
          <a:pPr algn="l"/>
          <a:endParaRPr lang="en-US" sz="900" b="1" baseline="0">
            <a:latin typeface="Arial" panose="020B0604020202020204" pitchFamily="34" charset="0"/>
            <a:cs typeface="Arial" panose="020B0604020202020204" pitchFamily="34" charset="0"/>
          </a:endParaRPr>
        </a:p>
      </xdr:txBody>
    </xdr:sp>
    <xdr:clientData/>
  </xdr:twoCellAnchor>
  <xdr:twoCellAnchor>
    <xdr:from>
      <xdr:col>30</xdr:col>
      <xdr:colOff>364343</xdr:colOff>
      <xdr:row>1</xdr:row>
      <xdr:rowOff>141988</xdr:rowOff>
    </xdr:from>
    <xdr:to>
      <xdr:col>46</xdr:col>
      <xdr:colOff>187376</xdr:colOff>
      <xdr:row>69</xdr:row>
      <xdr:rowOff>114508</xdr:rowOff>
    </xdr:to>
    <xdr:sp macro="" textlink="">
      <xdr:nvSpPr>
        <xdr:cNvPr id="8" name="Rectangle: Rounded Corners 7">
          <a:extLst>
            <a:ext uri="{FF2B5EF4-FFF2-40B4-BE49-F238E27FC236}">
              <a16:creationId xmlns:a16="http://schemas.microsoft.com/office/drawing/2014/main" id="{4EBAD112-0980-4414-BF90-4B262C5CB509}"/>
            </a:ext>
          </a:extLst>
        </xdr:cNvPr>
        <xdr:cNvSpPr/>
      </xdr:nvSpPr>
      <xdr:spPr>
        <a:xfrm>
          <a:off x="18789753" y="329365"/>
          <a:ext cx="9649918" cy="12714159"/>
        </a:xfrm>
        <a:prstGeom prst="roundRect">
          <a:avLst>
            <a:gd name="adj" fmla="val 291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lt1"/>
              </a:solidFill>
              <a:effectLst/>
              <a:latin typeface="Arial" panose="020B0604020202020204" pitchFamily="34" charset="0"/>
              <a:ea typeface="+mn-ea"/>
              <a:cs typeface="Arial" panose="020B0604020202020204" pitchFamily="34" charset="0"/>
            </a:rPr>
            <a:t>Pre-analysis Citations </a:t>
          </a:r>
        </a:p>
        <a:p>
          <a:endParaRPr lang="en-US" sz="1200"/>
        </a:p>
        <a:p>
          <a:r>
            <a:rPr lang="en-US" sz="2000" b="1" baseline="0">
              <a:solidFill>
                <a:schemeClr val="lt1"/>
              </a:solidFill>
              <a:effectLst/>
              <a:latin typeface="Arial" panose="020B0604020202020204" pitchFamily="34" charset="0"/>
              <a:ea typeface="+mn-ea"/>
              <a:cs typeface="Arial" panose="020B0604020202020204" pitchFamily="34" charset="0"/>
            </a:rPr>
            <a:t>1. Sales trend Report</a:t>
          </a:r>
          <a:endParaRPr lang="en-US" sz="2000">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a:t>
          </a:r>
          <a:r>
            <a:rPr lang="en-US" sz="2000">
              <a:solidFill>
                <a:schemeClr val="lt1"/>
              </a:solidFill>
              <a:effectLst/>
              <a:latin typeface="Arial" panose="020B0604020202020204" pitchFamily="34" charset="0"/>
              <a:ea typeface="+mn-ea"/>
              <a:cs typeface="Arial" panose="020B0604020202020204" pitchFamily="34" charset="0"/>
            </a:rPr>
            <a:t> Order</a:t>
          </a:r>
          <a:r>
            <a:rPr lang="en-US" sz="2000" baseline="0">
              <a:solidFill>
                <a:schemeClr val="lt1"/>
              </a:solidFill>
              <a:effectLst/>
              <a:latin typeface="Arial" panose="020B0604020202020204" pitchFamily="34" charset="0"/>
              <a:ea typeface="+mn-ea"/>
              <a:cs typeface="Arial" panose="020B0604020202020204" pitchFamily="34" charset="0"/>
            </a:rPr>
            <a:t> date</a:t>
          </a:r>
          <a:r>
            <a:rPr lang="en-US" sz="2000">
              <a:solidFill>
                <a:schemeClr val="lt1"/>
              </a:solidFill>
              <a:effectLst/>
              <a:latin typeface="Arial" panose="020B0604020202020204" pitchFamily="34" charset="0"/>
              <a:ea typeface="+mn-ea"/>
              <a:cs typeface="Arial" panose="020B0604020202020204" pitchFamily="34" charset="0"/>
            </a:rPr>
            <a:t> against Revenue.</a:t>
          </a:r>
          <a:br>
            <a:rPr lang="en-US" sz="2000">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a:t>
          </a:r>
          <a:r>
            <a:rPr lang="en-US" sz="2000">
              <a:solidFill>
                <a:schemeClr val="lt1"/>
              </a:solidFill>
              <a:effectLst/>
              <a:latin typeface="Arial" panose="020B0604020202020204" pitchFamily="34" charset="0"/>
              <a:ea typeface="+mn-ea"/>
              <a:cs typeface="Arial" panose="020B0604020202020204" pitchFamily="34" charset="0"/>
            </a:rPr>
            <a:t> Would help to identify the month generating the highest and lowest revenue.</a:t>
          </a:r>
        </a:p>
        <a:p>
          <a:endParaRPr lang="en-US" sz="2000">
            <a:effectLst/>
            <a:latin typeface="Arial" panose="020B0604020202020204" pitchFamily="34" charset="0"/>
            <a:cs typeface="Arial" panose="020B0604020202020204" pitchFamily="34" charset="0"/>
          </a:endParaRPr>
        </a:p>
        <a:p>
          <a:r>
            <a:rPr lang="en-US" sz="2000">
              <a:solidFill>
                <a:schemeClr val="lt1"/>
              </a:solidFill>
              <a:effectLst/>
              <a:latin typeface="Arial" panose="020B0604020202020204" pitchFamily="34" charset="0"/>
              <a:ea typeface="+mn-ea"/>
              <a:cs typeface="Arial" panose="020B0604020202020204" pitchFamily="34" charset="0"/>
            </a:rPr>
            <a:t>2. </a:t>
          </a:r>
          <a:r>
            <a:rPr lang="en-US" sz="2000" b="1">
              <a:solidFill>
                <a:schemeClr val="lt1"/>
              </a:solidFill>
              <a:effectLst/>
              <a:latin typeface="Arial" panose="020B0604020202020204" pitchFamily="34" charset="0"/>
              <a:ea typeface="+mn-ea"/>
              <a:cs typeface="Arial" panose="020B0604020202020204" pitchFamily="34" charset="0"/>
            </a:rPr>
            <a:t>Top</a:t>
          </a:r>
          <a:r>
            <a:rPr lang="en-US" sz="2000" b="1" baseline="0">
              <a:solidFill>
                <a:schemeClr val="lt1"/>
              </a:solidFill>
              <a:effectLst/>
              <a:latin typeface="Arial" panose="020B0604020202020204" pitchFamily="34" charset="0"/>
              <a:ea typeface="+mn-ea"/>
              <a:cs typeface="Arial" panose="020B0604020202020204" pitchFamily="34" charset="0"/>
            </a:rPr>
            <a:t> 10 Customer</a:t>
          </a:r>
          <a:endParaRPr lang="en-US" sz="2000">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a:t>
          </a:r>
          <a:r>
            <a:rPr lang="en-US" sz="2000">
              <a:solidFill>
                <a:schemeClr val="lt1"/>
              </a:solidFill>
              <a:effectLst/>
              <a:latin typeface="Arial" panose="020B0604020202020204" pitchFamily="34" charset="0"/>
              <a:ea typeface="+mn-ea"/>
              <a:cs typeface="Arial" panose="020B0604020202020204" pitchFamily="34" charset="0"/>
            </a:rPr>
            <a:t> Customer</a:t>
          </a:r>
          <a:r>
            <a:rPr lang="en-US" sz="2000" baseline="0">
              <a:solidFill>
                <a:schemeClr val="lt1"/>
              </a:solidFill>
              <a:effectLst/>
              <a:latin typeface="Arial" panose="020B0604020202020204" pitchFamily="34" charset="0"/>
              <a:ea typeface="+mn-ea"/>
              <a:cs typeface="Arial" panose="020B0604020202020204" pitchFamily="34" charset="0"/>
            </a:rPr>
            <a:t> name </a:t>
          </a:r>
          <a:r>
            <a:rPr lang="en-US" sz="2000">
              <a:solidFill>
                <a:schemeClr val="lt1"/>
              </a:solidFill>
              <a:effectLst/>
              <a:latin typeface="Arial" panose="020B0604020202020204" pitchFamily="34" charset="0"/>
              <a:ea typeface="+mn-ea"/>
              <a:cs typeface="Arial" panose="020B0604020202020204" pitchFamily="34" charset="0"/>
            </a:rPr>
            <a:t>against Revenue.</a:t>
          </a:r>
          <a:br>
            <a:rPr lang="en-US" sz="2000">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a:t>
          </a:r>
          <a:r>
            <a:rPr lang="en-US" sz="2000">
              <a:solidFill>
                <a:schemeClr val="lt1"/>
              </a:solidFill>
              <a:effectLst/>
              <a:latin typeface="Arial" panose="020B0604020202020204" pitchFamily="34" charset="0"/>
              <a:ea typeface="+mn-ea"/>
              <a:cs typeface="Arial" panose="020B0604020202020204" pitchFamily="34" charset="0"/>
            </a:rPr>
            <a:t> Would help to determine which</a:t>
          </a:r>
          <a:r>
            <a:rPr lang="en-US" sz="2000" baseline="0">
              <a:solidFill>
                <a:schemeClr val="lt1"/>
              </a:solidFill>
              <a:effectLst/>
              <a:latin typeface="Arial" panose="020B0604020202020204" pitchFamily="34" charset="0"/>
              <a:ea typeface="+mn-ea"/>
              <a:cs typeface="Arial" panose="020B0604020202020204" pitchFamily="34" charset="0"/>
            </a:rPr>
            <a:t> customer </a:t>
          </a:r>
          <a:r>
            <a:rPr lang="en-US" sz="2000">
              <a:solidFill>
                <a:schemeClr val="lt1"/>
              </a:solidFill>
              <a:effectLst/>
              <a:latin typeface="Arial" panose="020B0604020202020204" pitchFamily="34" charset="0"/>
              <a:ea typeface="+mn-ea"/>
              <a:cs typeface="Arial" panose="020B0604020202020204" pitchFamily="34" charset="0"/>
            </a:rPr>
            <a:t> contributes the most revenue and which customer performs the least.</a:t>
          </a:r>
        </a:p>
        <a:p>
          <a:endParaRPr lang="en-US" sz="2000">
            <a:effectLst/>
            <a:latin typeface="Arial" panose="020B0604020202020204" pitchFamily="34" charset="0"/>
            <a:cs typeface="Arial" panose="020B0604020202020204" pitchFamily="34" charset="0"/>
          </a:endParaRPr>
        </a:p>
        <a:p>
          <a:r>
            <a:rPr lang="en-US" sz="2000">
              <a:solidFill>
                <a:schemeClr val="lt1"/>
              </a:solidFill>
              <a:effectLst/>
              <a:latin typeface="Arial" panose="020B0604020202020204" pitchFamily="34" charset="0"/>
              <a:ea typeface="+mn-ea"/>
              <a:cs typeface="Arial" panose="020B0604020202020204" pitchFamily="34" charset="0"/>
            </a:rPr>
            <a:t>3. </a:t>
          </a:r>
          <a:r>
            <a:rPr lang="en-US" sz="2000" b="1">
              <a:solidFill>
                <a:schemeClr val="lt1"/>
              </a:solidFill>
              <a:effectLst/>
              <a:latin typeface="Arial" panose="020B0604020202020204" pitchFamily="34" charset="0"/>
              <a:ea typeface="+mn-ea"/>
              <a:cs typeface="Arial" panose="020B0604020202020204" pitchFamily="34" charset="0"/>
            </a:rPr>
            <a:t>Sales by</a:t>
          </a:r>
          <a:r>
            <a:rPr lang="en-US" sz="2000" b="1" baseline="0">
              <a:solidFill>
                <a:schemeClr val="lt1"/>
              </a:solidFill>
              <a:effectLst/>
              <a:latin typeface="Arial" panose="020B0604020202020204" pitchFamily="34" charset="0"/>
              <a:ea typeface="+mn-ea"/>
              <a:cs typeface="Arial" panose="020B0604020202020204" pitchFamily="34" charset="0"/>
            </a:rPr>
            <a:t> Reps </a:t>
          </a:r>
          <a:endParaRPr lang="en-US" sz="2000">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a:t>
          </a:r>
          <a:r>
            <a:rPr lang="en-US" sz="2000">
              <a:solidFill>
                <a:schemeClr val="lt1"/>
              </a:solidFill>
              <a:effectLst/>
              <a:latin typeface="Arial" panose="020B0604020202020204" pitchFamily="34" charset="0"/>
              <a:ea typeface="+mn-ea"/>
              <a:cs typeface="Arial" panose="020B0604020202020204" pitchFamily="34" charset="0"/>
            </a:rPr>
            <a:t> Sales person</a:t>
          </a:r>
          <a:r>
            <a:rPr lang="en-US" sz="2000" baseline="0">
              <a:solidFill>
                <a:schemeClr val="lt1"/>
              </a:solidFill>
              <a:effectLst/>
              <a:latin typeface="Arial" panose="020B0604020202020204" pitchFamily="34" charset="0"/>
              <a:ea typeface="+mn-ea"/>
              <a:cs typeface="Arial" panose="020B0604020202020204" pitchFamily="34" charset="0"/>
            </a:rPr>
            <a:t> </a:t>
          </a:r>
          <a:r>
            <a:rPr lang="en-US" sz="2000">
              <a:solidFill>
                <a:schemeClr val="lt1"/>
              </a:solidFill>
              <a:effectLst/>
              <a:latin typeface="Arial" panose="020B0604020202020204" pitchFamily="34" charset="0"/>
              <a:ea typeface="+mn-ea"/>
              <a:cs typeface="Arial" panose="020B0604020202020204" pitchFamily="34" charset="0"/>
            </a:rPr>
            <a:t>against Revenue.</a:t>
          </a:r>
          <a:br>
            <a:rPr lang="en-US" sz="2000">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a:t>
          </a:r>
          <a:r>
            <a:rPr lang="en-US" sz="2000">
              <a:solidFill>
                <a:schemeClr val="lt1"/>
              </a:solidFill>
              <a:effectLst/>
              <a:latin typeface="Arial" panose="020B0604020202020204" pitchFamily="34" charset="0"/>
              <a:ea typeface="+mn-ea"/>
              <a:cs typeface="Arial" panose="020B0604020202020204" pitchFamily="34" charset="0"/>
            </a:rPr>
            <a:t> Would help to determine which sales person generates the highest revenue.</a:t>
          </a:r>
        </a:p>
        <a:p>
          <a:endParaRPr lang="en-US" sz="2000">
            <a:effectLst/>
            <a:latin typeface="Arial" panose="020B0604020202020204" pitchFamily="34" charset="0"/>
            <a:cs typeface="Arial" panose="020B0604020202020204" pitchFamily="34" charset="0"/>
          </a:endParaRPr>
        </a:p>
        <a:p>
          <a:r>
            <a:rPr lang="en-US" sz="2000">
              <a:solidFill>
                <a:schemeClr val="lt1"/>
              </a:solidFill>
              <a:effectLst/>
              <a:latin typeface="Arial" panose="020B0604020202020204" pitchFamily="34" charset="0"/>
              <a:ea typeface="+mn-ea"/>
              <a:cs typeface="Arial" panose="020B0604020202020204" pitchFamily="34" charset="0"/>
            </a:rPr>
            <a:t>4. </a:t>
          </a:r>
          <a:r>
            <a:rPr lang="en-US" sz="2000" b="1">
              <a:solidFill>
                <a:schemeClr val="lt1"/>
              </a:solidFill>
              <a:effectLst/>
              <a:latin typeface="Arial" panose="020B0604020202020204" pitchFamily="34" charset="0"/>
              <a:ea typeface="+mn-ea"/>
              <a:cs typeface="Arial" panose="020B0604020202020204" pitchFamily="34" charset="0"/>
            </a:rPr>
            <a:t>Sales</a:t>
          </a:r>
          <a:r>
            <a:rPr lang="en-US" sz="2000" b="1" baseline="0">
              <a:solidFill>
                <a:schemeClr val="lt1"/>
              </a:solidFill>
              <a:effectLst/>
              <a:latin typeface="Arial" panose="020B0604020202020204" pitchFamily="34" charset="0"/>
              <a:ea typeface="+mn-ea"/>
              <a:cs typeface="Arial" panose="020B0604020202020204" pitchFamily="34" charset="0"/>
            </a:rPr>
            <a:t> by region</a:t>
          </a:r>
          <a:endParaRPr lang="en-US" sz="2000">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a:t>
          </a:r>
          <a:r>
            <a:rPr lang="en-US" sz="2000">
              <a:solidFill>
                <a:schemeClr val="lt1"/>
              </a:solidFill>
              <a:effectLst/>
              <a:latin typeface="Arial" panose="020B0604020202020204" pitchFamily="34" charset="0"/>
              <a:ea typeface="+mn-ea"/>
              <a:cs typeface="Arial" panose="020B0604020202020204" pitchFamily="34" charset="0"/>
            </a:rPr>
            <a:t> Region against Revenue.</a:t>
          </a:r>
          <a:br>
            <a:rPr lang="en-US" sz="2000">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a:t>
          </a:r>
          <a:r>
            <a:rPr lang="en-US" sz="2000">
              <a:solidFill>
                <a:schemeClr val="lt1"/>
              </a:solidFill>
              <a:effectLst/>
              <a:latin typeface="Arial" panose="020B0604020202020204" pitchFamily="34" charset="0"/>
              <a:ea typeface="+mn-ea"/>
              <a:cs typeface="Arial" panose="020B0604020202020204" pitchFamily="34" charset="0"/>
            </a:rPr>
            <a:t> Would help to identify which region generate the highest and lowest revenue.</a:t>
          </a:r>
        </a:p>
        <a:p>
          <a:endParaRPr lang="en-US" sz="2000">
            <a:effectLst/>
            <a:latin typeface="Arial" panose="020B0604020202020204" pitchFamily="34" charset="0"/>
            <a:cs typeface="Arial" panose="020B0604020202020204" pitchFamily="34" charset="0"/>
          </a:endParaRPr>
        </a:p>
        <a:p>
          <a:r>
            <a:rPr lang="en-US" sz="2000">
              <a:solidFill>
                <a:schemeClr val="lt1"/>
              </a:solidFill>
              <a:effectLst/>
              <a:latin typeface="Arial" panose="020B0604020202020204" pitchFamily="34" charset="0"/>
              <a:ea typeface="+mn-ea"/>
              <a:cs typeface="Arial" panose="020B0604020202020204" pitchFamily="34" charset="0"/>
            </a:rPr>
            <a:t>5. </a:t>
          </a:r>
          <a:r>
            <a:rPr lang="en-US" sz="2000" b="1">
              <a:solidFill>
                <a:schemeClr val="lt1"/>
              </a:solidFill>
              <a:effectLst/>
              <a:latin typeface="Arial" panose="020B0604020202020204" pitchFamily="34" charset="0"/>
              <a:ea typeface="+mn-ea"/>
              <a:cs typeface="Arial" panose="020B0604020202020204" pitchFamily="34" charset="0"/>
            </a:rPr>
            <a:t>Transaction</a:t>
          </a:r>
          <a:r>
            <a:rPr lang="en-US" sz="2000" b="1" baseline="0">
              <a:solidFill>
                <a:schemeClr val="lt1"/>
              </a:solidFill>
              <a:effectLst/>
              <a:latin typeface="Arial" panose="020B0604020202020204" pitchFamily="34" charset="0"/>
              <a:ea typeface="+mn-ea"/>
              <a:cs typeface="Arial" panose="020B0604020202020204" pitchFamily="34" charset="0"/>
            </a:rPr>
            <a:t> by amount</a:t>
          </a:r>
          <a:endParaRPr lang="en-US" sz="2000">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chemeClr val="lt1"/>
              </a:solidFill>
              <a:effectLst/>
              <a:latin typeface="Arial" panose="020B0604020202020204" pitchFamily="34" charset="0"/>
              <a:ea typeface="+mn-ea"/>
              <a:cs typeface="Arial" panose="020B0604020202020204" pitchFamily="34" charset="0"/>
            </a:rPr>
            <a:t>How to:</a:t>
          </a:r>
          <a:r>
            <a:rPr lang="en-US" sz="2000">
              <a:solidFill>
                <a:schemeClr val="lt1"/>
              </a:solidFill>
              <a:effectLst/>
              <a:latin typeface="Arial" panose="020B0604020202020204" pitchFamily="34" charset="0"/>
              <a:ea typeface="+mn-ea"/>
              <a:cs typeface="Arial" panose="020B0604020202020204" pitchFamily="34" charset="0"/>
            </a:rPr>
            <a:t> Revenue against Revenue.</a:t>
          </a:r>
          <a:br>
            <a:rPr lang="en-US" sz="2000">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a:t>
          </a:r>
          <a:r>
            <a:rPr lang="en-US" sz="2000">
              <a:solidFill>
                <a:schemeClr val="lt1"/>
              </a:solidFill>
              <a:effectLst/>
              <a:latin typeface="Arial" panose="020B0604020202020204" pitchFamily="34" charset="0"/>
              <a:ea typeface="+mn-ea"/>
              <a:cs typeface="Arial" panose="020B0604020202020204" pitchFamily="34" charset="0"/>
            </a:rPr>
            <a:t> </a:t>
          </a:r>
          <a:r>
            <a:rPr lang="en-US" sz="2000" b="1">
              <a:solidFill>
                <a:schemeClr val="lt1"/>
              </a:solidFill>
              <a:effectLst/>
              <a:latin typeface="Arial" panose="020B0604020202020204" pitchFamily="34" charset="0"/>
              <a:ea typeface="+mn-ea"/>
              <a:cs typeface="Arial" panose="020B0604020202020204" pitchFamily="34" charset="0"/>
            </a:rPr>
            <a:t>Would help to determine which storage condition category contributes the highest revenue generation.</a:t>
          </a:r>
        </a:p>
        <a:p>
          <a:pPr marL="0" marR="0" lvl="0" indent="0" defTabSz="914400" eaLnBrk="1" fontAlgn="auto" latinLnBrk="0" hangingPunct="1">
            <a:lnSpc>
              <a:spcPct val="100000"/>
            </a:lnSpc>
            <a:spcBef>
              <a:spcPts val="0"/>
            </a:spcBef>
            <a:spcAft>
              <a:spcPts val="0"/>
            </a:spcAft>
            <a:buClrTx/>
            <a:buSzTx/>
            <a:buFontTx/>
            <a:buNone/>
            <a:tabLst/>
            <a:defRPr/>
          </a:pPr>
          <a:endParaRPr lang="en-US" sz="2000" b="1">
            <a:effectLst/>
            <a:latin typeface="Arial" panose="020B0604020202020204" pitchFamily="34" charset="0"/>
            <a:cs typeface="Arial" panose="020B0604020202020204" pitchFamily="34" charset="0"/>
          </a:endParaRPr>
        </a:p>
        <a:p>
          <a:r>
            <a:rPr lang="en-US" sz="2000">
              <a:solidFill>
                <a:schemeClr val="lt1"/>
              </a:solidFill>
              <a:effectLst/>
              <a:latin typeface="Arial" panose="020B0604020202020204" pitchFamily="34" charset="0"/>
              <a:ea typeface="+mn-ea"/>
              <a:cs typeface="Arial" panose="020B0604020202020204" pitchFamily="34" charset="0"/>
            </a:rPr>
            <a:t>6. </a:t>
          </a:r>
          <a:r>
            <a:rPr lang="en-US" sz="2000" b="1">
              <a:solidFill>
                <a:schemeClr val="lt1"/>
              </a:solidFill>
              <a:effectLst/>
              <a:latin typeface="Arial" panose="020B0604020202020204" pitchFamily="34" charset="0"/>
              <a:ea typeface="+mn-ea"/>
              <a:cs typeface="Arial" panose="020B0604020202020204" pitchFamily="34" charset="0"/>
            </a:rPr>
            <a:t>Sales</a:t>
          </a:r>
          <a:r>
            <a:rPr lang="en-US" sz="2000" b="1" baseline="0">
              <a:solidFill>
                <a:schemeClr val="lt1"/>
              </a:solidFill>
              <a:effectLst/>
              <a:latin typeface="Arial" panose="020B0604020202020204" pitchFamily="34" charset="0"/>
              <a:ea typeface="+mn-ea"/>
              <a:cs typeface="Arial" panose="020B0604020202020204" pitchFamily="34" charset="0"/>
            </a:rPr>
            <a:t> by product category</a:t>
          </a:r>
          <a:endParaRPr lang="en-US" sz="2000">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a:t>
          </a:r>
          <a:r>
            <a:rPr lang="en-US" sz="2000">
              <a:solidFill>
                <a:schemeClr val="lt1"/>
              </a:solidFill>
              <a:effectLst/>
              <a:latin typeface="Arial" panose="020B0604020202020204" pitchFamily="34" charset="0"/>
              <a:ea typeface="+mn-ea"/>
              <a:cs typeface="Arial" panose="020B0604020202020204" pitchFamily="34" charset="0"/>
            </a:rPr>
            <a:t> Category against Revenue.</a:t>
          </a:r>
          <a:br>
            <a:rPr lang="en-US" sz="2000">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a:t>
          </a:r>
          <a:r>
            <a:rPr lang="en-US" sz="2000">
              <a:solidFill>
                <a:schemeClr val="lt1"/>
              </a:solidFill>
              <a:effectLst/>
              <a:latin typeface="Arial" panose="020B0604020202020204" pitchFamily="34" charset="0"/>
              <a:ea typeface="+mn-ea"/>
              <a:cs typeface="Arial" panose="020B0604020202020204" pitchFamily="34" charset="0"/>
            </a:rPr>
            <a:t> Would help to determine the</a:t>
          </a:r>
          <a:r>
            <a:rPr lang="en-US" sz="2000" baseline="0">
              <a:solidFill>
                <a:schemeClr val="lt1"/>
              </a:solidFill>
              <a:effectLst/>
              <a:latin typeface="Arial" panose="020B0604020202020204" pitchFamily="34" charset="0"/>
              <a:ea typeface="+mn-ea"/>
              <a:cs typeface="Arial" panose="020B0604020202020204" pitchFamily="34" charset="0"/>
            </a:rPr>
            <a:t> category that</a:t>
          </a:r>
          <a:r>
            <a:rPr lang="en-US" sz="2000">
              <a:solidFill>
                <a:schemeClr val="lt1"/>
              </a:solidFill>
              <a:effectLst/>
              <a:latin typeface="Arial" panose="020B0604020202020204" pitchFamily="34" charset="0"/>
              <a:ea typeface="+mn-ea"/>
              <a:cs typeface="Arial" panose="020B0604020202020204" pitchFamily="34" charset="0"/>
            </a:rPr>
            <a:t> generate more revenue. </a:t>
          </a:r>
        </a:p>
        <a:p>
          <a:endParaRPr lang="en-US" sz="2000">
            <a:effectLst/>
            <a:latin typeface="Arial" panose="020B0604020202020204" pitchFamily="34" charset="0"/>
            <a:cs typeface="Arial" panose="020B0604020202020204" pitchFamily="34" charset="0"/>
          </a:endParaRPr>
        </a:p>
        <a:p>
          <a:r>
            <a:rPr lang="en-US" sz="2000">
              <a:solidFill>
                <a:schemeClr val="lt1"/>
              </a:solidFill>
              <a:effectLst/>
              <a:latin typeface="Arial" panose="020B0604020202020204" pitchFamily="34" charset="0"/>
              <a:ea typeface="+mn-ea"/>
              <a:cs typeface="Arial" panose="020B0604020202020204" pitchFamily="34" charset="0"/>
            </a:rPr>
            <a:t>7. </a:t>
          </a:r>
          <a:r>
            <a:rPr lang="en-US" sz="2000" b="1">
              <a:solidFill>
                <a:schemeClr val="lt1"/>
              </a:solidFill>
              <a:effectLst/>
              <a:latin typeface="Arial" panose="020B0604020202020204" pitchFamily="34" charset="0"/>
              <a:ea typeface="+mn-ea"/>
              <a:cs typeface="Arial" panose="020B0604020202020204" pitchFamily="34" charset="0"/>
            </a:rPr>
            <a:t>Top</a:t>
          </a:r>
          <a:r>
            <a:rPr lang="en-US" sz="2000" b="1" baseline="0">
              <a:solidFill>
                <a:schemeClr val="lt1"/>
              </a:solidFill>
              <a:effectLst/>
              <a:latin typeface="Arial" panose="020B0604020202020204" pitchFamily="34" charset="0"/>
              <a:ea typeface="+mn-ea"/>
              <a:cs typeface="Arial" panose="020B0604020202020204" pitchFamily="34" charset="0"/>
            </a:rPr>
            <a:t> 6 ship cities by revenue</a:t>
          </a:r>
          <a:endParaRPr lang="en-US" sz="2000">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a:t>
          </a:r>
          <a:r>
            <a:rPr lang="en-US" sz="2000">
              <a:solidFill>
                <a:schemeClr val="lt1"/>
              </a:solidFill>
              <a:effectLst/>
              <a:latin typeface="Arial" panose="020B0604020202020204" pitchFamily="34" charset="0"/>
              <a:ea typeface="+mn-ea"/>
              <a:cs typeface="Arial" panose="020B0604020202020204" pitchFamily="34" charset="0"/>
            </a:rPr>
            <a:t> Ship</a:t>
          </a:r>
          <a:r>
            <a:rPr lang="en-US" sz="2000" baseline="0">
              <a:solidFill>
                <a:schemeClr val="lt1"/>
              </a:solidFill>
              <a:effectLst/>
              <a:latin typeface="Arial" panose="020B0604020202020204" pitchFamily="34" charset="0"/>
              <a:ea typeface="+mn-ea"/>
              <a:cs typeface="Arial" panose="020B0604020202020204" pitchFamily="34" charset="0"/>
            </a:rPr>
            <a:t> cities</a:t>
          </a:r>
          <a:r>
            <a:rPr lang="en-US" sz="2000">
              <a:solidFill>
                <a:schemeClr val="lt1"/>
              </a:solidFill>
              <a:effectLst/>
              <a:latin typeface="Arial" panose="020B0604020202020204" pitchFamily="34" charset="0"/>
              <a:ea typeface="+mn-ea"/>
              <a:cs typeface="Arial" panose="020B0604020202020204" pitchFamily="34" charset="0"/>
            </a:rPr>
            <a:t> by Revenue. </a:t>
          </a:r>
        </a:p>
        <a:p>
          <a:r>
            <a:rPr lang="en-US" sz="2000" b="1">
              <a:solidFill>
                <a:schemeClr val="lt1"/>
              </a:solidFill>
              <a:effectLst/>
              <a:latin typeface="Arial" panose="020B0604020202020204" pitchFamily="34" charset="0"/>
              <a:ea typeface="+mn-ea"/>
              <a:cs typeface="Arial" panose="020B0604020202020204" pitchFamily="34" charset="0"/>
            </a:rPr>
            <a:t>Potential Insight:</a:t>
          </a:r>
          <a:r>
            <a:rPr lang="en-US" sz="2000">
              <a:solidFill>
                <a:schemeClr val="lt1"/>
              </a:solidFill>
              <a:effectLst/>
              <a:latin typeface="Arial" panose="020B0604020202020204" pitchFamily="34" charset="0"/>
              <a:ea typeface="+mn-ea"/>
              <a:cs typeface="Arial" panose="020B0604020202020204" pitchFamily="34" charset="0"/>
            </a:rPr>
            <a:t> Would help to determine which</a:t>
          </a:r>
          <a:r>
            <a:rPr lang="en-US" sz="2000" baseline="0">
              <a:solidFill>
                <a:schemeClr val="lt1"/>
              </a:solidFill>
              <a:effectLst/>
              <a:latin typeface="Arial" panose="020B0604020202020204" pitchFamily="34" charset="0"/>
              <a:ea typeface="+mn-ea"/>
              <a:cs typeface="Arial" panose="020B0604020202020204" pitchFamily="34" charset="0"/>
            </a:rPr>
            <a:t> ship cities</a:t>
          </a:r>
          <a:r>
            <a:rPr lang="en-US" sz="2000">
              <a:solidFill>
                <a:schemeClr val="lt1"/>
              </a:solidFill>
              <a:effectLst/>
              <a:latin typeface="Arial" panose="020B0604020202020204" pitchFamily="34" charset="0"/>
              <a:ea typeface="+mn-ea"/>
              <a:cs typeface="Arial" panose="020B0604020202020204" pitchFamily="34" charset="0"/>
            </a:rPr>
            <a:t> contribute the highest revenue.</a:t>
          </a:r>
        </a:p>
        <a:p>
          <a:endParaRPr lang="en-US" sz="2000">
            <a:effectLst/>
            <a:latin typeface="Arial" panose="020B0604020202020204" pitchFamily="34" charset="0"/>
            <a:cs typeface="Arial" panose="020B0604020202020204" pitchFamily="34" charset="0"/>
          </a:endParaRPr>
        </a:p>
        <a:p>
          <a:r>
            <a:rPr lang="en-US" sz="2000">
              <a:solidFill>
                <a:schemeClr val="lt1"/>
              </a:solidFill>
              <a:effectLst/>
              <a:latin typeface="Arial" panose="020B0604020202020204" pitchFamily="34" charset="0"/>
              <a:ea typeface="+mn-ea"/>
              <a:cs typeface="Arial" panose="020B0604020202020204" pitchFamily="34" charset="0"/>
            </a:rPr>
            <a:t>8. </a:t>
          </a:r>
          <a:r>
            <a:rPr lang="en-US" sz="2000" b="1">
              <a:solidFill>
                <a:schemeClr val="lt1"/>
              </a:solidFill>
              <a:effectLst/>
              <a:latin typeface="Arial" panose="020B0604020202020204" pitchFamily="34" charset="0"/>
              <a:ea typeface="+mn-ea"/>
              <a:cs typeface="Arial" panose="020B0604020202020204" pitchFamily="34" charset="0"/>
            </a:rPr>
            <a:t>Top</a:t>
          </a:r>
          <a:r>
            <a:rPr lang="en-US" sz="2000" b="1" baseline="0">
              <a:solidFill>
                <a:schemeClr val="lt1"/>
              </a:solidFill>
              <a:effectLst/>
              <a:latin typeface="Arial" panose="020B0604020202020204" pitchFamily="34" charset="0"/>
              <a:ea typeface="+mn-ea"/>
              <a:cs typeface="Arial" panose="020B0604020202020204" pitchFamily="34" charset="0"/>
            </a:rPr>
            <a:t> 5 cities by revenue</a:t>
          </a:r>
          <a:endParaRPr lang="en-US" sz="2000">
            <a:effectLst/>
            <a:latin typeface="Arial" panose="020B0604020202020204" pitchFamily="34" charset="0"/>
            <a:cs typeface="Arial" panose="020B0604020202020204" pitchFamily="34" charset="0"/>
          </a:endParaRPr>
        </a:p>
        <a:p>
          <a:r>
            <a:rPr lang="en-US" sz="2000">
              <a:solidFill>
                <a:schemeClr val="lt1"/>
              </a:solidFill>
              <a:effectLst/>
              <a:latin typeface="Arial" panose="020B0604020202020204" pitchFamily="34" charset="0"/>
              <a:ea typeface="+mn-ea"/>
              <a:cs typeface="Arial" panose="020B0604020202020204" pitchFamily="34" charset="0"/>
            </a:rPr>
            <a:t> </a:t>
          </a:r>
          <a:r>
            <a:rPr lang="en-US" sz="2000" b="1">
              <a:solidFill>
                <a:schemeClr val="lt1"/>
              </a:solidFill>
              <a:effectLst/>
              <a:latin typeface="Arial" panose="020B0604020202020204" pitchFamily="34" charset="0"/>
              <a:ea typeface="+mn-ea"/>
              <a:cs typeface="Arial" panose="020B0604020202020204" pitchFamily="34" charset="0"/>
            </a:rPr>
            <a:t>How to:</a:t>
          </a:r>
          <a:r>
            <a:rPr lang="en-US" sz="2000">
              <a:solidFill>
                <a:schemeClr val="lt1"/>
              </a:solidFill>
              <a:effectLst/>
              <a:latin typeface="Arial" panose="020B0604020202020204" pitchFamily="34" charset="0"/>
              <a:ea typeface="+mn-ea"/>
              <a:cs typeface="Arial" panose="020B0604020202020204" pitchFamily="34" charset="0"/>
            </a:rPr>
            <a:t> City by Revenue. </a:t>
          </a:r>
          <a:endParaRPr lang="en-US" sz="2000">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Potential Insight:</a:t>
          </a:r>
          <a:r>
            <a:rPr lang="en-US" sz="2000">
              <a:solidFill>
                <a:schemeClr val="lt1"/>
              </a:solidFill>
              <a:effectLst/>
              <a:latin typeface="Arial" panose="020B0604020202020204" pitchFamily="34" charset="0"/>
              <a:ea typeface="+mn-ea"/>
              <a:cs typeface="Arial" panose="020B0604020202020204" pitchFamily="34" charset="0"/>
            </a:rPr>
            <a:t> Would help to determine which</a:t>
          </a:r>
          <a:r>
            <a:rPr lang="en-US" sz="2000" baseline="0">
              <a:solidFill>
                <a:schemeClr val="lt1"/>
              </a:solidFill>
              <a:effectLst/>
              <a:latin typeface="Arial" panose="020B0604020202020204" pitchFamily="34" charset="0"/>
              <a:ea typeface="+mn-ea"/>
              <a:cs typeface="Arial" panose="020B0604020202020204" pitchFamily="34" charset="0"/>
            </a:rPr>
            <a:t> cities generate</a:t>
          </a:r>
          <a:r>
            <a:rPr lang="en-US" sz="2000">
              <a:solidFill>
                <a:schemeClr val="lt1"/>
              </a:solidFill>
              <a:effectLst/>
              <a:latin typeface="Arial" panose="020B0604020202020204" pitchFamily="34" charset="0"/>
              <a:ea typeface="+mn-ea"/>
              <a:cs typeface="Arial" panose="020B0604020202020204" pitchFamily="34" charset="0"/>
            </a:rPr>
            <a:t> the highest revenue generation.</a:t>
          </a:r>
          <a:endParaRPr lang="en-US" sz="2000">
            <a:effectLst/>
            <a:latin typeface="Arial" panose="020B0604020202020204" pitchFamily="34" charset="0"/>
            <a:cs typeface="Arial" panose="020B0604020202020204" pitchFamily="34" charset="0"/>
          </a:endParaRP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231775</xdr:colOff>
      <xdr:row>2</xdr:row>
      <xdr:rowOff>12700</xdr:rowOff>
    </xdr:from>
    <xdr:to>
      <xdr:col>11</xdr:col>
      <xdr:colOff>361950</xdr:colOff>
      <xdr:row>16</xdr:row>
      <xdr:rowOff>95250</xdr:rowOff>
    </xdr:to>
    <xdr:graphicFrame macro="">
      <xdr:nvGraphicFramePr>
        <xdr:cNvPr id="3" name="Chart 2">
          <a:extLst>
            <a:ext uri="{FF2B5EF4-FFF2-40B4-BE49-F238E27FC236}">
              <a16:creationId xmlns:a16="http://schemas.microsoft.com/office/drawing/2014/main" id="{3963FA40-F446-45C4-B4C7-841F75130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444500</xdr:colOff>
      <xdr:row>1</xdr:row>
      <xdr:rowOff>25400</xdr:rowOff>
    </xdr:from>
    <xdr:to>
      <xdr:col>10</xdr:col>
      <xdr:colOff>139700</xdr:colOff>
      <xdr:row>16</xdr:row>
      <xdr:rowOff>6350</xdr:rowOff>
    </xdr:to>
    <xdr:graphicFrame macro="">
      <xdr:nvGraphicFramePr>
        <xdr:cNvPr id="2" name="Chart 1">
          <a:extLst>
            <a:ext uri="{FF2B5EF4-FFF2-40B4-BE49-F238E27FC236}">
              <a16:creationId xmlns:a16="http://schemas.microsoft.com/office/drawing/2014/main" id="{24F20DE4-70A8-491B-B756-97A032CCB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444500</xdr:colOff>
      <xdr:row>1</xdr:row>
      <xdr:rowOff>25400</xdr:rowOff>
    </xdr:from>
    <xdr:to>
      <xdr:col>10</xdr:col>
      <xdr:colOff>139700</xdr:colOff>
      <xdr:row>16</xdr:row>
      <xdr:rowOff>6350</xdr:rowOff>
    </xdr:to>
    <xdr:graphicFrame macro="">
      <xdr:nvGraphicFramePr>
        <xdr:cNvPr id="2" name="Chart 1">
          <a:extLst>
            <a:ext uri="{FF2B5EF4-FFF2-40B4-BE49-F238E27FC236}">
              <a16:creationId xmlns:a16="http://schemas.microsoft.com/office/drawing/2014/main" id="{4917BE7D-45E1-4463-953A-D0C31E69D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184150</xdr:colOff>
      <xdr:row>1</xdr:row>
      <xdr:rowOff>95250</xdr:rowOff>
    </xdr:from>
    <xdr:to>
      <xdr:col>10</xdr:col>
      <xdr:colOff>488950</xdr:colOff>
      <xdr:row>16</xdr:row>
      <xdr:rowOff>76200</xdr:rowOff>
    </xdr:to>
    <xdr:graphicFrame macro="">
      <xdr:nvGraphicFramePr>
        <xdr:cNvPr id="2" name="Chart 1">
          <a:extLst>
            <a:ext uri="{FF2B5EF4-FFF2-40B4-BE49-F238E27FC236}">
              <a16:creationId xmlns:a16="http://schemas.microsoft.com/office/drawing/2014/main" id="{62FEDFDA-5E28-4251-BBB8-74974F6B0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63500</xdr:colOff>
      <xdr:row>2</xdr:row>
      <xdr:rowOff>127000</xdr:rowOff>
    </xdr:from>
    <xdr:to>
      <xdr:col>10</xdr:col>
      <xdr:colOff>368300</xdr:colOff>
      <xdr:row>17</xdr:row>
      <xdr:rowOff>107950</xdr:rowOff>
    </xdr:to>
    <xdr:graphicFrame macro="">
      <xdr:nvGraphicFramePr>
        <xdr:cNvPr id="2" name="Chart 1">
          <a:extLst>
            <a:ext uri="{FF2B5EF4-FFF2-40B4-BE49-F238E27FC236}">
              <a16:creationId xmlns:a16="http://schemas.microsoft.com/office/drawing/2014/main" id="{DCFCC12B-01F5-40C8-92D5-8F3679A38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412750</xdr:colOff>
      <xdr:row>2</xdr:row>
      <xdr:rowOff>38100</xdr:rowOff>
    </xdr:from>
    <xdr:to>
      <xdr:col>11</xdr:col>
      <xdr:colOff>107950</xdr:colOff>
      <xdr:row>17</xdr:row>
      <xdr:rowOff>19050</xdr:rowOff>
    </xdr:to>
    <xdr:graphicFrame macro="">
      <xdr:nvGraphicFramePr>
        <xdr:cNvPr id="2" name="Chart 1">
          <a:extLst>
            <a:ext uri="{FF2B5EF4-FFF2-40B4-BE49-F238E27FC236}">
              <a16:creationId xmlns:a16="http://schemas.microsoft.com/office/drawing/2014/main" id="{064056CE-A896-4A93-94ED-7B64364B3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212725</xdr:colOff>
      <xdr:row>5</xdr:row>
      <xdr:rowOff>95250</xdr:rowOff>
    </xdr:from>
    <xdr:to>
      <xdr:col>12</xdr:col>
      <xdr:colOff>552450</xdr:colOff>
      <xdr:row>17</xdr:row>
      <xdr:rowOff>107950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001862E-758D-4F9A-BD1D-C948A9688F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72075" y="1016000"/>
              <a:ext cx="3997325" cy="2222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66675</xdr:colOff>
      <xdr:row>3</xdr:row>
      <xdr:rowOff>57150</xdr:rowOff>
    </xdr:from>
    <xdr:to>
      <xdr:col>13</xdr:col>
      <xdr:colOff>371475</xdr:colOff>
      <xdr:row>18</xdr:row>
      <xdr:rowOff>38100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FE2715D-4A3A-4D5A-AE43-55BEB3E059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3175" y="6096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365125</xdr:colOff>
      <xdr:row>3</xdr:row>
      <xdr:rowOff>19050</xdr:rowOff>
    </xdr:from>
    <xdr:to>
      <xdr:col>13</xdr:col>
      <xdr:colOff>60325</xdr:colOff>
      <xdr:row>18</xdr:row>
      <xdr:rowOff>0</xdr:rowOff>
    </xdr:to>
    <xdr:graphicFrame macro="">
      <xdr:nvGraphicFramePr>
        <xdr:cNvPr id="3" name="Chart 2">
          <a:extLst>
            <a:ext uri="{FF2B5EF4-FFF2-40B4-BE49-F238E27FC236}">
              <a16:creationId xmlns:a16="http://schemas.microsoft.com/office/drawing/2014/main" id="{174CCC16-7682-4143-B4B7-2DD667FE7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120650</xdr:colOff>
      <xdr:row>0</xdr:row>
      <xdr:rowOff>114300</xdr:rowOff>
    </xdr:from>
    <xdr:to>
      <xdr:col>9</xdr:col>
      <xdr:colOff>139700</xdr:colOff>
      <xdr:row>40</xdr:row>
      <xdr:rowOff>171450</xdr:rowOff>
    </xdr:to>
    <xdr:sp macro="" textlink="">
      <xdr:nvSpPr>
        <xdr:cNvPr id="2" name="Rectangle: Rounded Corners 1">
          <a:extLst>
            <a:ext uri="{FF2B5EF4-FFF2-40B4-BE49-F238E27FC236}">
              <a16:creationId xmlns:a16="http://schemas.microsoft.com/office/drawing/2014/main" id="{5E2430B7-D480-498D-AF46-A4A9ABE2C7BE}"/>
            </a:ext>
          </a:extLst>
        </xdr:cNvPr>
        <xdr:cNvSpPr/>
      </xdr:nvSpPr>
      <xdr:spPr>
        <a:xfrm>
          <a:off x="120650" y="114300"/>
          <a:ext cx="5505450" cy="7423150"/>
        </a:xfrm>
        <a:prstGeom prst="roundRect">
          <a:avLst>
            <a:gd name="adj" fmla="val 282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lt1"/>
              </a:solidFill>
              <a:effectLst/>
              <a:latin typeface="+mn-lt"/>
              <a:ea typeface="+mn-ea"/>
              <a:cs typeface="+mn-cs"/>
            </a:rPr>
            <a:t>IN ANALYSIS OBSERVATION</a:t>
          </a:r>
        </a:p>
        <a:p>
          <a:pPr algn="ctr"/>
          <a:endParaRPr lang="en-US" sz="1200" b="0">
            <a:solidFill>
              <a:schemeClr val="lt1"/>
            </a:solidFill>
            <a:effectLst/>
            <a:latin typeface="+mn-lt"/>
            <a:ea typeface="+mn-ea"/>
            <a:cs typeface="+mn-cs"/>
          </a:endParaRPr>
        </a:p>
        <a:p>
          <a:r>
            <a:rPr lang="en-US" sz="1100" b="1">
              <a:solidFill>
                <a:schemeClr val="lt1"/>
              </a:solidFill>
              <a:effectLst/>
              <a:latin typeface="Arial" panose="020B0604020202020204" pitchFamily="34" charset="0"/>
              <a:ea typeface="+mn-ea"/>
              <a:cs typeface="Arial" panose="020B0604020202020204" pitchFamily="34" charset="0"/>
            </a:rPr>
            <a:t>Sales trend report</a:t>
          </a:r>
          <a:r>
            <a:rPr lang="en-US" sz="1100" b="1">
              <a:solidFill>
                <a:schemeClr val="lt1"/>
              </a:solidFill>
              <a:effectLst/>
              <a:latin typeface="+mn-lt"/>
              <a:ea typeface="+mn-ea"/>
              <a:cs typeface="+mn-cs"/>
            </a:rPr>
            <a:t>:</a:t>
          </a:r>
          <a:endParaRPr lang="en-US" sz="1100">
            <a:solidFill>
              <a:schemeClr val="lt1"/>
            </a:solidFill>
            <a:effectLst/>
            <a:latin typeface="+mn-lt"/>
            <a:ea typeface="+mn-ea"/>
            <a:cs typeface="+mn-cs"/>
          </a:endParaRPr>
        </a:p>
        <a:p>
          <a:r>
            <a:rPr lang="en-US" sz="1100">
              <a:solidFill>
                <a:schemeClr val="lt1"/>
              </a:solidFill>
              <a:effectLst/>
              <a:latin typeface="+mn-lt"/>
              <a:ea typeface="+mn-ea"/>
              <a:cs typeface="+mn-cs"/>
            </a:rPr>
            <a:t>December having the largest sales input = $66,643</a:t>
          </a:r>
        </a:p>
        <a:p>
          <a:r>
            <a:rPr lang="en-US" sz="1100">
              <a:solidFill>
                <a:schemeClr val="lt1"/>
              </a:solidFill>
              <a:effectLst/>
              <a:latin typeface="+mn-lt"/>
              <a:ea typeface="+mn-ea"/>
              <a:cs typeface="+mn-cs"/>
            </a:rPr>
            <a:t>February having the least sales = $19,986</a:t>
          </a:r>
        </a:p>
        <a:p>
          <a:endParaRPr lang="en-US" sz="1100">
            <a:solidFill>
              <a:schemeClr val="lt1"/>
            </a:solidFill>
            <a:effectLst/>
            <a:latin typeface="+mn-lt"/>
            <a:ea typeface="+mn-ea"/>
            <a:cs typeface="+mn-cs"/>
          </a:endParaRPr>
        </a:p>
        <a:p>
          <a:r>
            <a:rPr lang="en-US" sz="1100" b="1">
              <a:solidFill>
                <a:schemeClr val="lt1"/>
              </a:solidFill>
              <a:effectLst/>
              <a:latin typeface="Arial" panose="020B0604020202020204" pitchFamily="34" charset="0"/>
              <a:ea typeface="+mn-ea"/>
              <a:cs typeface="Arial" panose="020B0604020202020204" pitchFamily="34" charset="0"/>
            </a:rPr>
            <a:t>Top 10 customers</a:t>
          </a:r>
        </a:p>
        <a:p>
          <a:r>
            <a:rPr lang="en-US" sz="1100">
              <a:solidFill>
                <a:schemeClr val="lt1"/>
              </a:solidFill>
              <a:effectLst/>
              <a:latin typeface="+mn-lt"/>
              <a:ea typeface="+mn-ea"/>
              <a:cs typeface="+mn-cs"/>
            </a:rPr>
            <a:t>Company D toping as the best performing customer of the year =$67,181</a:t>
          </a:r>
        </a:p>
        <a:p>
          <a:r>
            <a:rPr lang="en-US" sz="1100">
              <a:solidFill>
                <a:schemeClr val="lt1"/>
              </a:solidFill>
              <a:effectLst/>
              <a:latin typeface="+mn-lt"/>
              <a:ea typeface="+mn-ea"/>
              <a:cs typeface="+mn-cs"/>
            </a:rPr>
            <a:t>Company K toping as the least performing customer of the year =$21,937</a:t>
          </a:r>
        </a:p>
        <a:p>
          <a:endParaRPr lang="en-US" sz="1100">
            <a:solidFill>
              <a:schemeClr val="lt1"/>
            </a:solidFill>
            <a:effectLst/>
            <a:latin typeface="+mn-lt"/>
            <a:ea typeface="+mn-ea"/>
            <a:cs typeface="+mn-cs"/>
          </a:endParaRPr>
        </a:p>
        <a:p>
          <a:r>
            <a:rPr lang="en-US" sz="1100" b="1">
              <a:solidFill>
                <a:schemeClr val="lt1"/>
              </a:solidFill>
              <a:effectLst/>
              <a:latin typeface="Arial" panose="020B0604020202020204" pitchFamily="34" charset="0"/>
              <a:ea typeface="+mn-ea"/>
              <a:cs typeface="Arial" panose="020B0604020202020204" pitchFamily="34" charset="0"/>
            </a:rPr>
            <a:t>Sales by Rep</a:t>
          </a:r>
        </a:p>
        <a:p>
          <a:r>
            <a:rPr lang="en-US" sz="1100">
              <a:solidFill>
                <a:schemeClr val="lt1"/>
              </a:solidFill>
              <a:effectLst/>
              <a:latin typeface="+mn-lt"/>
              <a:ea typeface="+mn-ea"/>
              <a:cs typeface="+mn-cs"/>
            </a:rPr>
            <a:t>Nancy Freehafer has the highest revenue input which is $104,252</a:t>
          </a:r>
        </a:p>
        <a:p>
          <a:r>
            <a:rPr lang="en-US" sz="1100">
              <a:solidFill>
                <a:schemeClr val="lt1"/>
              </a:solidFill>
              <a:effectLst/>
              <a:latin typeface="+mn-lt"/>
              <a:ea typeface="+mn-ea"/>
              <a:cs typeface="+mn-cs"/>
            </a:rPr>
            <a:t>Jan</a:t>
          </a:r>
          <a:r>
            <a:rPr lang="en-US" sz="1100" baseline="0">
              <a:solidFill>
                <a:schemeClr val="lt1"/>
              </a:solidFill>
              <a:effectLst/>
              <a:latin typeface="+mn-lt"/>
              <a:ea typeface="+mn-ea"/>
              <a:cs typeface="+mn-cs"/>
            </a:rPr>
            <a:t> Kotad has the least revenue input which is $16,351</a:t>
          </a:r>
        </a:p>
        <a:p>
          <a:endParaRPr lang="en-US" sz="1100" baseline="0">
            <a:solidFill>
              <a:schemeClr val="lt1"/>
            </a:solidFill>
            <a:effectLst/>
            <a:latin typeface="+mn-lt"/>
            <a:ea typeface="+mn-ea"/>
            <a:cs typeface="+mn-cs"/>
          </a:endParaRPr>
        </a:p>
        <a:p>
          <a:r>
            <a:rPr lang="en-US" sz="1100" b="1" baseline="0">
              <a:solidFill>
                <a:schemeClr val="lt1"/>
              </a:solidFill>
              <a:effectLst/>
              <a:latin typeface="Arial" panose="020B0604020202020204" pitchFamily="34" charset="0"/>
              <a:ea typeface="+mn-ea"/>
              <a:cs typeface="Arial" panose="020B0604020202020204" pitchFamily="34" charset="0"/>
            </a:rPr>
            <a:t>Sales by Region</a:t>
          </a:r>
        </a:p>
        <a:p>
          <a:r>
            <a:rPr lang="en-US" sz="1100" baseline="0">
              <a:solidFill>
                <a:schemeClr val="lt1"/>
              </a:solidFill>
              <a:effectLst/>
              <a:latin typeface="+mn-lt"/>
              <a:ea typeface="+mn-ea"/>
              <a:cs typeface="+mn-cs"/>
            </a:rPr>
            <a:t>North has the higest revenue which is 32.57%</a:t>
          </a:r>
        </a:p>
        <a:p>
          <a:r>
            <a:rPr lang="en-US" sz="1100" baseline="0">
              <a:solidFill>
                <a:schemeClr val="lt1"/>
              </a:solidFill>
              <a:effectLst/>
              <a:latin typeface="+mn-lt"/>
              <a:ea typeface="+mn-ea"/>
              <a:cs typeface="+mn-cs"/>
            </a:rPr>
            <a:t>West has the lowest revenue which is  20.97%</a:t>
          </a:r>
        </a:p>
        <a:p>
          <a:endParaRPr lang="en-US" sz="1100" baseline="0">
            <a:solidFill>
              <a:schemeClr val="lt1"/>
            </a:solidFill>
            <a:effectLst/>
            <a:latin typeface="+mn-lt"/>
            <a:ea typeface="+mn-ea"/>
            <a:cs typeface="+mn-cs"/>
          </a:endParaRPr>
        </a:p>
        <a:p>
          <a:r>
            <a:rPr lang="en-US" sz="1100" b="1" baseline="0">
              <a:solidFill>
                <a:schemeClr val="lt1"/>
              </a:solidFill>
              <a:effectLst/>
              <a:latin typeface="Arial" panose="020B0604020202020204" pitchFamily="34" charset="0"/>
              <a:ea typeface="+mn-ea"/>
              <a:cs typeface="Arial" panose="020B0604020202020204" pitchFamily="34" charset="0"/>
            </a:rPr>
            <a:t>Sales by category</a:t>
          </a:r>
        </a:p>
        <a:p>
          <a:r>
            <a:rPr lang="en-US" sz="1100" baseline="0">
              <a:solidFill>
                <a:schemeClr val="lt1"/>
              </a:solidFill>
              <a:effectLst/>
              <a:latin typeface="+mn-lt"/>
              <a:ea typeface="+mn-ea"/>
              <a:cs typeface="+mn-cs"/>
            </a:rPr>
            <a:t>Beverages has the highest categroy performance which is  $110, 577</a:t>
          </a:r>
        </a:p>
        <a:p>
          <a:r>
            <a:rPr lang="en-US" sz="1100" baseline="0">
              <a:solidFill>
                <a:schemeClr val="lt1"/>
              </a:solidFill>
              <a:effectLst/>
              <a:latin typeface="+mn-lt"/>
              <a:ea typeface="+mn-ea"/>
              <a:cs typeface="+mn-cs"/>
            </a:rPr>
            <a:t>Dried fruit and Nuts has the least category performance which is $28,000</a:t>
          </a:r>
          <a:endParaRPr lang="en-US" sz="1100">
            <a:solidFill>
              <a:schemeClr val="lt1"/>
            </a:solidFill>
            <a:effectLst/>
            <a:latin typeface="+mn-lt"/>
            <a:ea typeface="+mn-ea"/>
            <a:cs typeface="+mn-cs"/>
          </a:endParaRPr>
        </a:p>
        <a:p>
          <a:endParaRPr lang="en-US" sz="1100">
            <a:solidFill>
              <a:schemeClr val="lt1"/>
            </a:solidFill>
            <a:effectLst/>
            <a:latin typeface="+mn-lt"/>
            <a:ea typeface="+mn-ea"/>
            <a:cs typeface="+mn-cs"/>
          </a:endParaRPr>
        </a:p>
        <a:p>
          <a:r>
            <a:rPr lang="en-US" sz="1100" b="1">
              <a:solidFill>
                <a:schemeClr val="lt1"/>
              </a:solidFill>
              <a:effectLst/>
              <a:latin typeface="Arial" panose="020B0604020202020204" pitchFamily="34" charset="0"/>
              <a:ea typeface="+mn-ea"/>
              <a:cs typeface="Arial" panose="020B0604020202020204" pitchFamily="34" charset="0"/>
            </a:rPr>
            <a:t>Top 5 cities by revenue</a:t>
          </a:r>
        </a:p>
        <a:p>
          <a:r>
            <a:rPr lang="en-US" sz="1100">
              <a:solidFill>
                <a:schemeClr val="lt1"/>
              </a:solidFill>
              <a:effectLst/>
              <a:latin typeface="+mn-lt"/>
              <a:ea typeface="+mn-ea"/>
              <a:cs typeface="+mn-cs"/>
            </a:rPr>
            <a:t>New York has the highest performance by revenue of $67,181</a:t>
          </a:r>
        </a:p>
        <a:p>
          <a:r>
            <a:rPr lang="en-US" sz="1100">
              <a:solidFill>
                <a:schemeClr val="lt1"/>
              </a:solidFill>
              <a:effectLst/>
              <a:latin typeface="+mn-lt"/>
              <a:ea typeface="+mn-ea"/>
              <a:cs typeface="+mn-cs"/>
            </a:rPr>
            <a:t>Chicago has the lowest performance by revenue of $41,095</a:t>
          </a:r>
        </a:p>
        <a:p>
          <a:r>
            <a:rPr lang="en-US" sz="1100">
              <a:solidFill>
                <a:schemeClr val="lt1"/>
              </a:solidFill>
              <a:effectLst/>
              <a:latin typeface="+mn-lt"/>
              <a:ea typeface="+mn-ea"/>
              <a:cs typeface="+mn-cs"/>
            </a:rPr>
            <a:t> </a:t>
          </a:r>
        </a:p>
        <a:p>
          <a:r>
            <a:rPr lang="en-US" sz="1100">
              <a:solidFill>
                <a:schemeClr val="lt1"/>
              </a:solidFill>
              <a:effectLst/>
              <a:latin typeface="+mn-lt"/>
              <a:ea typeface="+mn-ea"/>
              <a:cs typeface="+mn-cs"/>
            </a:rPr>
            <a:t> </a:t>
          </a:r>
          <a:r>
            <a:rPr lang="en-US" sz="1100" b="1">
              <a:solidFill>
                <a:schemeClr val="lt1"/>
              </a:solidFill>
              <a:effectLst/>
              <a:latin typeface="Arial" panose="020B0604020202020204" pitchFamily="34" charset="0"/>
              <a:ea typeface="+mn-ea"/>
              <a:cs typeface="Arial" panose="020B0604020202020204" pitchFamily="34" charset="0"/>
            </a:rPr>
            <a:t>Top 6 cities by revenue</a:t>
          </a:r>
        </a:p>
        <a:p>
          <a:r>
            <a:rPr lang="en-US" sz="1100">
              <a:solidFill>
                <a:schemeClr val="lt1"/>
              </a:solidFill>
              <a:effectLst/>
              <a:latin typeface="+mn-lt"/>
              <a:ea typeface="+mn-ea"/>
              <a:cs typeface="+mn-cs"/>
            </a:rPr>
            <a:t>New York has the highest revenue input of $67,181</a:t>
          </a:r>
        </a:p>
        <a:p>
          <a:r>
            <a:rPr lang="en-US" sz="1100">
              <a:solidFill>
                <a:schemeClr val="lt1"/>
              </a:solidFill>
              <a:effectLst/>
              <a:latin typeface="+mn-lt"/>
              <a:ea typeface="+mn-ea"/>
              <a:cs typeface="+mn-cs"/>
            </a:rPr>
            <a:t>Milwaukee has the least revenue input of $37, 428</a:t>
          </a:r>
        </a:p>
        <a:p>
          <a:r>
            <a:rPr lang="en-US" sz="1100">
              <a:solidFill>
                <a:schemeClr val="lt1"/>
              </a:solidFill>
              <a:effectLst/>
              <a:latin typeface="+mn-lt"/>
              <a:ea typeface="+mn-ea"/>
              <a:cs typeface="+mn-cs"/>
            </a:rPr>
            <a:t> </a:t>
          </a:r>
        </a:p>
        <a:p>
          <a:r>
            <a:rPr lang="en-US" sz="1100" b="1">
              <a:solidFill>
                <a:schemeClr val="lt1"/>
              </a:solidFill>
              <a:effectLst/>
              <a:latin typeface="Arial" panose="020B0604020202020204" pitchFamily="34" charset="0"/>
              <a:ea typeface="+mn-ea"/>
              <a:cs typeface="Arial" panose="020B0604020202020204" pitchFamily="34" charset="0"/>
            </a:rPr>
            <a:t>State performance </a:t>
          </a:r>
        </a:p>
        <a:p>
          <a:r>
            <a:rPr lang="en-US" sz="1100">
              <a:solidFill>
                <a:schemeClr val="lt1"/>
              </a:solidFill>
              <a:effectLst/>
              <a:latin typeface="+mn-lt"/>
              <a:ea typeface="+mn-ea"/>
              <a:cs typeface="+mn-cs"/>
            </a:rPr>
            <a:t>NY( New york) has the highest state performance revenue input of $67,181</a:t>
          </a:r>
        </a:p>
        <a:p>
          <a:r>
            <a:rPr lang="en-US" sz="1100">
              <a:solidFill>
                <a:schemeClr val="lt1"/>
              </a:solidFill>
              <a:effectLst/>
              <a:latin typeface="+mn-lt"/>
              <a:ea typeface="+mn-ea"/>
              <a:cs typeface="+mn-cs"/>
            </a:rPr>
            <a:t>NV( Las Vegas) has the lowest state performance revenue input of $15,366</a:t>
          </a:r>
        </a:p>
        <a:p>
          <a:endParaRPr lang="en-US" sz="1100">
            <a:solidFill>
              <a:schemeClr val="lt1"/>
            </a:solidFill>
            <a:effectLst/>
            <a:latin typeface="+mn-lt"/>
            <a:ea typeface="+mn-ea"/>
            <a:cs typeface="+mn-cs"/>
          </a:endParaRPr>
        </a:p>
        <a:p>
          <a:r>
            <a:rPr lang="en-US" sz="1100" b="1">
              <a:solidFill>
                <a:schemeClr val="lt1"/>
              </a:solidFill>
              <a:effectLst/>
              <a:latin typeface="Arial" panose="020B0604020202020204" pitchFamily="34" charset="0"/>
              <a:ea typeface="+mn-ea"/>
              <a:cs typeface="Arial" panose="020B0604020202020204" pitchFamily="34" charset="0"/>
            </a:rPr>
            <a:t>Transaction by amount</a:t>
          </a:r>
        </a:p>
        <a:p>
          <a:r>
            <a:rPr lang="en-US"/>
            <a:t>The </a:t>
          </a:r>
          <a:r>
            <a:rPr lang="en-US" b="1"/>
            <a:t>0–1,000 revenue band</a:t>
          </a:r>
          <a:r>
            <a:rPr lang="en-US"/>
            <a:t> recorded the </a:t>
          </a:r>
          <a:r>
            <a:rPr lang="en-US" b="1"/>
            <a:t>highest sales frequency with 218 transactions</a:t>
          </a:r>
          <a:r>
            <a:rPr lang="en-US"/>
            <a:t>, making it the most frequently sold price range.</a:t>
          </a:r>
        </a:p>
        <a:p>
          <a:r>
            <a:rPr lang="en-US"/>
            <a:t>High-value sales are </a:t>
          </a:r>
          <a:r>
            <a:rPr lang="en-US" b="1"/>
            <a:t>very rare</a:t>
          </a:r>
          <a:r>
            <a:rPr lang="en-US"/>
            <a:t>, with only </a:t>
          </a:r>
          <a:r>
            <a:rPr lang="en-US" b="1"/>
            <a:t>1 transaction in the 7,000–8,000.</a:t>
          </a:r>
          <a:endParaRPr lang="en-US" sz="1100">
            <a:solidFill>
              <a:schemeClr val="lt1"/>
            </a:solidFill>
            <a:effectLst/>
            <a:latin typeface="+mn-lt"/>
            <a:ea typeface="+mn-ea"/>
            <a:cs typeface="+mn-cs"/>
          </a:endParaRPr>
        </a:p>
        <a:p>
          <a:pPr algn="l"/>
          <a:endParaRPr lang="en-US" sz="1100"/>
        </a:p>
      </xdr:txBody>
    </xdr:sp>
    <xdr:clientData/>
  </xdr:twoCellAnchor>
  <xdr:twoCellAnchor>
    <xdr:from>
      <xdr:col>10</xdr:col>
      <xdr:colOff>88900</xdr:colOff>
      <xdr:row>1</xdr:row>
      <xdr:rowOff>63500</xdr:rowOff>
    </xdr:from>
    <xdr:to>
      <xdr:col>20</xdr:col>
      <xdr:colOff>304800</xdr:colOff>
      <xdr:row>62</xdr:row>
      <xdr:rowOff>25400</xdr:rowOff>
    </xdr:to>
    <xdr:sp macro="" textlink="">
      <xdr:nvSpPr>
        <xdr:cNvPr id="3" name="Rectangle: Rounded Corners 2">
          <a:extLst>
            <a:ext uri="{FF2B5EF4-FFF2-40B4-BE49-F238E27FC236}">
              <a16:creationId xmlns:a16="http://schemas.microsoft.com/office/drawing/2014/main" id="{0F2ED826-BD33-4D91-97BD-1AFAA153EA13}"/>
            </a:ext>
          </a:extLst>
        </xdr:cNvPr>
        <xdr:cNvSpPr/>
      </xdr:nvSpPr>
      <xdr:spPr>
        <a:xfrm>
          <a:off x="6184900" y="247650"/>
          <a:ext cx="6311900" cy="11195050"/>
        </a:xfrm>
        <a:prstGeom prst="roundRect">
          <a:avLst>
            <a:gd name="adj" fmla="val 358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lt1"/>
              </a:solidFill>
              <a:effectLst/>
              <a:latin typeface="+mn-lt"/>
              <a:ea typeface="+mn-ea"/>
              <a:cs typeface="+mn-cs"/>
            </a:rPr>
            <a:t>IN ANALYSIS INSIGHT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Arial" panose="020B0604020202020204" pitchFamily="34" charset="0"/>
              <a:ea typeface="+mn-ea"/>
              <a:cs typeface="Arial" panose="020B0604020202020204" pitchFamily="34" charset="0"/>
            </a:rPr>
            <a:t>Sales trend report</a:t>
          </a:r>
          <a:r>
            <a:rPr lang="en-US" sz="1100" b="1">
              <a:solidFill>
                <a:schemeClr val="lt1"/>
              </a:solidFill>
              <a:effectLst/>
              <a:latin typeface="+mn-lt"/>
              <a:ea typeface="+mn-ea"/>
              <a:cs typeface="+mn-cs"/>
            </a:rPr>
            <a:t>:</a:t>
          </a:r>
          <a:endParaRPr lang="en-US" sz="1200" b="0">
            <a:solidFill>
              <a:schemeClr val="lt1"/>
            </a:solidFill>
            <a:effectLst/>
            <a:latin typeface="+mn-lt"/>
            <a:ea typeface="+mn-ea"/>
            <a:cs typeface="+mn-cs"/>
          </a:endParaRPr>
        </a:p>
        <a:p>
          <a:pPr algn="l"/>
          <a:r>
            <a:rPr lang="en-US"/>
            <a:t>Sales performance shows a clear seasonal pattern, with December recording the highest revenue at $66,643, reflecting strong year-end demand, while February recorded the lowest sales at $19,986, indicating weaker activity early in the year and a potential need for targeted promotions during this period.</a:t>
          </a:r>
        </a:p>
        <a:p>
          <a:pPr algn="l"/>
          <a:endParaRPr lang="en-US"/>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Arial" panose="020B0604020202020204" pitchFamily="34" charset="0"/>
              <a:ea typeface="+mn-ea"/>
              <a:cs typeface="Arial" panose="020B0604020202020204" pitchFamily="34" charset="0"/>
            </a:rPr>
            <a:t>Top 10 customers:</a:t>
          </a:r>
          <a:endParaRPr lang="en-US" sz="1100" b="1">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0"/>
            <a:t>Company D emerged as the top-performing customer of the year with total sales of $67,181, while Company K recorded the lowest performance at $21,937, highlighting a significant gap in customer contribution to overall revenue.</a:t>
          </a:r>
        </a:p>
        <a:p>
          <a:pPr marL="0" marR="0" lvl="0" indent="0" algn="l" defTabSz="914400" eaLnBrk="1" fontAlgn="auto" latinLnBrk="0" hangingPunct="1">
            <a:lnSpc>
              <a:spcPct val="100000"/>
            </a:lnSpc>
            <a:spcBef>
              <a:spcPts val="0"/>
            </a:spcBef>
            <a:spcAft>
              <a:spcPts val="0"/>
            </a:spcAft>
            <a:buClrTx/>
            <a:buSzTx/>
            <a:buFontTx/>
            <a:buNone/>
            <a:tabLst/>
            <a:defRPr/>
          </a:pPr>
          <a:endParaRPr lang="en-US" b="1"/>
        </a:p>
        <a:p>
          <a:pPr marL="0" marR="0" lvl="0" indent="0" algn="l" defTabSz="914400" eaLnBrk="1" fontAlgn="auto" latinLnBrk="0" hangingPunct="1">
            <a:lnSpc>
              <a:spcPct val="100000"/>
            </a:lnSpc>
            <a:spcBef>
              <a:spcPts val="0"/>
            </a:spcBef>
            <a:spcAft>
              <a:spcPts val="0"/>
            </a:spcAft>
            <a:buClrTx/>
            <a:buSzTx/>
            <a:buFontTx/>
            <a:buNone/>
            <a:tabLst/>
            <a:defRPr/>
          </a:pPr>
          <a:r>
            <a:rPr lang="en-US" b="1">
              <a:latin typeface="Arial" panose="020B0604020202020204" pitchFamily="34" charset="0"/>
              <a:cs typeface="Arial" panose="020B0604020202020204" pitchFamily="34" charset="0"/>
            </a:rPr>
            <a:t>Sales by Rep</a:t>
          </a:r>
          <a:r>
            <a:rPr lang="en-US" b="1"/>
            <a:t>:</a:t>
          </a:r>
          <a:br>
            <a:rPr lang="en-US"/>
          </a:br>
          <a:r>
            <a:rPr lang="en-US"/>
            <a:t>Nancy Freehafer is the top-performing sales representative, generating the highest revenue of </a:t>
          </a:r>
          <a:r>
            <a:rPr lang="en-US" b="1"/>
            <a:t>$104,252</a:t>
          </a:r>
          <a:r>
            <a:rPr lang="en-US"/>
            <a:t>, which indicates strong sales effectiveness and customer reach. In contrast, Jan Kotad recorded the lowest revenue at </a:t>
          </a:r>
          <a:r>
            <a:rPr lang="en-US" b="1"/>
            <a:t>$16,351</a:t>
          </a:r>
          <a:r>
            <a:rPr lang="en-US"/>
            <a:t>, highlighting a performance gap that may require targeted support, training, or territory review to improve overall sales balance.</a:t>
          </a:r>
        </a:p>
        <a:p>
          <a:endParaRPr lang="en-US"/>
        </a:p>
        <a:p>
          <a:r>
            <a:rPr lang="en-US" b="1">
              <a:latin typeface="Arial" panose="020B0604020202020204" pitchFamily="34" charset="0"/>
              <a:cs typeface="Arial" panose="020B0604020202020204" pitchFamily="34" charset="0"/>
            </a:rPr>
            <a:t>Sales by Region</a:t>
          </a:r>
          <a:r>
            <a:rPr lang="en-US" b="1"/>
            <a:t>:</a:t>
          </a:r>
          <a:br>
            <a:rPr lang="en-US"/>
          </a:br>
          <a:r>
            <a:rPr lang="en-US"/>
            <a:t>The North region leads overall performance, contributing the highest share of revenue at </a:t>
          </a:r>
          <a:r>
            <a:rPr lang="en-US" b="1"/>
            <a:t>32.57%</a:t>
          </a:r>
          <a:r>
            <a:rPr lang="en-US"/>
            <a:t>, which suggests strong market presence and effective sales activities in this region. In contrast, the West region records the lowest contribution at </a:t>
          </a:r>
          <a:r>
            <a:rPr lang="en-US" b="1"/>
            <a:t>20.97%</a:t>
          </a:r>
          <a:r>
            <a:rPr lang="en-US"/>
            <a:t>, indicating an opportunity to review market strategies, improve coverage, or strengthen sales efforts to boost regional performance.</a:t>
          </a:r>
        </a:p>
        <a:p>
          <a:endParaRPr lang="en-US"/>
        </a:p>
        <a:p>
          <a:r>
            <a:rPr lang="en-US" b="1">
              <a:latin typeface="Arial" panose="020B0604020202020204" pitchFamily="34" charset="0"/>
              <a:cs typeface="Arial" panose="020B0604020202020204" pitchFamily="34" charset="0"/>
            </a:rPr>
            <a:t>Sales by Category</a:t>
          </a:r>
          <a:r>
            <a:rPr lang="en-US" b="1"/>
            <a:t>:</a:t>
          </a:r>
          <a:br>
            <a:rPr lang="en-US"/>
          </a:br>
          <a:r>
            <a:rPr lang="en-US"/>
            <a:t>Beverages is the best-performing category, generating the highest revenue of </a:t>
          </a:r>
          <a:r>
            <a:rPr lang="en-US" b="1"/>
            <a:t>$110,577</a:t>
          </a:r>
          <a:r>
            <a:rPr lang="en-US"/>
            <a:t>, which indicates strong customer demand and consistent sales in this segment. In contrast, Dried Fruit and Nuts recorded the lowest revenue at </a:t>
          </a:r>
          <a:r>
            <a:rPr lang="en-US" b="1"/>
            <a:t>$28,000</a:t>
          </a:r>
          <a:r>
            <a:rPr lang="en-US"/>
            <a:t>, suggesting lower demand or limited market penetration and highlighting an opportunity for targeted promotion or product strategy improvement in this category.</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Arial" panose="020B0604020202020204" pitchFamily="34" charset="0"/>
              <a:ea typeface="+mn-ea"/>
              <a:cs typeface="Arial" panose="020B0604020202020204" pitchFamily="34" charset="0"/>
            </a:rPr>
            <a:t>Top 5 cities by revenue</a:t>
          </a:r>
          <a:endParaRPr lang="en-US" b="1">
            <a:latin typeface="Arial" panose="020B0604020202020204" pitchFamily="34" charset="0"/>
            <a:cs typeface="Arial" panose="020B0604020202020204" pitchFamily="34" charset="0"/>
          </a:endParaRPr>
        </a:p>
        <a:p>
          <a:r>
            <a:rPr lang="en-US"/>
            <a:t>Revenue performance across the top five cities shows a clear gap. </a:t>
          </a:r>
          <a:r>
            <a:rPr lang="en-US" b="1"/>
            <a:t>New York leads with $67,181</a:t>
          </a:r>
          <a:r>
            <a:rPr lang="en-US"/>
            <a:t>, indicating strong market demand and effective sales penetration. In contrast, </a:t>
          </a:r>
          <a:r>
            <a:rPr lang="en-US" b="1"/>
            <a:t>Chicago records the lowest revenue at $41,095</a:t>
          </a:r>
          <a:r>
            <a:rPr lang="en-US"/>
            <a:t>, suggesting comparatively weaker performance. This variation highlights the need to review market strategies in lower-performing cities and identify opportunities to replicate New York’s success in other locations.</a:t>
          </a:r>
        </a:p>
        <a:p>
          <a:endParaRPr lang="en-US"/>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Arial" panose="020B0604020202020204" pitchFamily="34" charset="0"/>
              <a:ea typeface="+mn-ea"/>
              <a:cs typeface="Arial" panose="020B0604020202020204" pitchFamily="34" charset="0"/>
            </a:rPr>
            <a:t>Top 6 cities by revenue</a:t>
          </a:r>
        </a:p>
        <a:p>
          <a:pPr marL="0" marR="0" lvl="0" indent="0" algn="l" defTabSz="914400" eaLnBrk="1" fontAlgn="auto" latinLnBrk="0" hangingPunct="1">
            <a:lnSpc>
              <a:spcPct val="100000"/>
            </a:lnSpc>
            <a:spcBef>
              <a:spcPts val="0"/>
            </a:spcBef>
            <a:spcAft>
              <a:spcPts val="0"/>
            </a:spcAft>
            <a:buClrTx/>
            <a:buSzTx/>
            <a:buFontTx/>
            <a:buNone/>
            <a:tabLst/>
            <a:defRPr/>
          </a:pPr>
          <a:r>
            <a:rPr lang="en-US"/>
            <a:t>Revenue among the top six cities is uneven, with </a:t>
          </a:r>
          <a:r>
            <a:rPr lang="en-US" b="1"/>
            <a:t>New York leading at $67,181</a:t>
          </a:r>
          <a:r>
            <a:rPr lang="en-US"/>
            <a:t>, reflecting strong sales activity and high market contribution. </a:t>
          </a:r>
          <a:r>
            <a:rPr lang="en-US" b="1"/>
            <a:t>Milwaukee records the lowest revenue at $37,428</a:t>
          </a:r>
          <a:r>
            <a:rPr lang="en-US"/>
            <a:t>, indicating relatively low market penetration or demand. This gap suggests an opportunity to review sales strategies, customer engagement, and product performance in Milwaukee while leveraging the factors driving New York’s strong results to improve overall city-level performance.</a:t>
          </a:r>
          <a:endParaRPr lang="en-US" b="1">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Arial" panose="020B0604020202020204" pitchFamily="34" charset="0"/>
              <a:ea typeface="+mn-ea"/>
              <a:cs typeface="Arial" panose="020B0604020202020204" pitchFamily="34" charset="0"/>
            </a:rPr>
            <a:t>State performance </a:t>
          </a:r>
        </a:p>
        <a:p>
          <a:pPr marL="0" marR="0" lvl="0" indent="0" algn="l" defTabSz="914400" eaLnBrk="1" fontAlgn="auto" latinLnBrk="0" hangingPunct="1">
            <a:lnSpc>
              <a:spcPct val="100000"/>
            </a:lnSpc>
            <a:spcBef>
              <a:spcPts val="0"/>
            </a:spcBef>
            <a:spcAft>
              <a:spcPts val="0"/>
            </a:spcAft>
            <a:buClrTx/>
            <a:buSzTx/>
            <a:buFontTx/>
            <a:buNone/>
            <a:tabLst/>
            <a:defRPr/>
          </a:pPr>
          <a:r>
            <a:rPr lang="en-US"/>
            <a:t>State-level revenue performance shows a significant disparity. </a:t>
          </a:r>
          <a:r>
            <a:rPr lang="en-US" b="1"/>
            <a:t>New York (NY) leads with $67,181</a:t>
          </a:r>
          <a:r>
            <a:rPr lang="en-US"/>
            <a:t>, indicating strong demand and effective sales performance in the state. In contrast, </a:t>
          </a:r>
          <a:r>
            <a:rPr lang="en-US" b="1"/>
            <a:t>Nevada (Las Vegas) records the lowest revenue at $15,366</a:t>
          </a:r>
          <a:r>
            <a:rPr lang="en-US"/>
            <a:t>, suggesting limited market penetration or weaker sales activity. This gap highlights the need to assess regional strategies in Nevada and explore ways to replicate the successful drivers behind New York’s performance across lower-performing states.</a:t>
          </a:r>
          <a:endParaRPr lang="en-US" b="1">
            <a:effectLst/>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Arial" panose="020B0604020202020204" pitchFamily="34" charset="0"/>
              <a:ea typeface="+mn-ea"/>
              <a:cs typeface="Arial" panose="020B0604020202020204" pitchFamily="34" charset="0"/>
            </a:rPr>
            <a:t>Transaction by amount</a:t>
          </a:r>
          <a:endParaRPr lang="en-US" b="0">
            <a:effectLst/>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t>Customer purchases are </a:t>
          </a:r>
          <a:r>
            <a:rPr lang="en-US" b="1"/>
            <a:t>heavily concentrated in low-value transactions (0–1,000)</a:t>
          </a:r>
          <a:r>
            <a:rPr lang="en-US"/>
            <a:t>, indicating strong demand for </a:t>
          </a:r>
          <a:r>
            <a:rPr lang="en-US" b="1"/>
            <a:t>low-priced or fast-moving items</a:t>
          </a:r>
          <a:r>
            <a:rPr lang="en-US"/>
            <a:t>.</a:t>
          </a:r>
        </a:p>
        <a:p>
          <a:r>
            <a:rPr lang="en-US"/>
            <a:t>High-value items contribute </a:t>
          </a:r>
          <a:r>
            <a:rPr lang="en-US" b="1"/>
            <a:t>very little to transaction volume</a:t>
          </a:r>
          <a:r>
            <a:rPr lang="en-US"/>
            <a:t>, which may point to:</a:t>
          </a:r>
        </a:p>
        <a:p>
          <a:r>
            <a:rPr lang="en-US"/>
            <a:t>Low customer awareness,</a:t>
          </a:r>
        </a:p>
        <a:p>
          <a:r>
            <a:rPr lang="en-US"/>
            <a:t>Pricing barriers, or</a:t>
          </a:r>
        </a:p>
        <a:p>
          <a:r>
            <a:rPr lang="en-US"/>
            <a:t>Products not aligned with customer needs.</a:t>
          </a:r>
        </a:p>
        <a:p>
          <a:pPr marL="0" marR="0" lvl="0" indent="0" algn="l" defTabSz="914400" eaLnBrk="1" fontAlgn="auto" latinLnBrk="0" hangingPunct="1">
            <a:lnSpc>
              <a:spcPct val="100000"/>
            </a:lnSpc>
            <a:spcBef>
              <a:spcPts val="0"/>
            </a:spcBef>
            <a:spcAft>
              <a:spcPts val="0"/>
            </a:spcAft>
            <a:buClrTx/>
            <a:buSzTx/>
            <a:buFontTx/>
            <a:buNone/>
            <a:tabLst/>
            <a:defRPr/>
          </a:pPr>
          <a:endParaRPr lang="en-US"/>
        </a:p>
        <a:p>
          <a:pPr algn="l"/>
          <a:endParaRPr lang="en-US" sz="1100"/>
        </a:p>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125604</xdr:colOff>
      <xdr:row>1</xdr:row>
      <xdr:rowOff>6980</xdr:rowOff>
    </xdr:from>
    <xdr:to>
      <xdr:col>11</xdr:col>
      <xdr:colOff>586153</xdr:colOff>
      <xdr:row>177</xdr:row>
      <xdr:rowOff>160495</xdr:rowOff>
    </xdr:to>
    <xdr:sp macro="" textlink="">
      <xdr:nvSpPr>
        <xdr:cNvPr id="3" name="Rectangle: Rounded Corners 2">
          <a:extLst>
            <a:ext uri="{FF2B5EF4-FFF2-40B4-BE49-F238E27FC236}">
              <a16:creationId xmlns:a16="http://schemas.microsoft.com/office/drawing/2014/main" id="{EA6048DC-3ED0-4A7F-AAFE-B929137ED468}"/>
            </a:ext>
          </a:extLst>
        </xdr:cNvPr>
        <xdr:cNvSpPr/>
      </xdr:nvSpPr>
      <xdr:spPr>
        <a:xfrm>
          <a:off x="125604" y="188409"/>
          <a:ext cx="7138516" cy="32084943"/>
        </a:xfrm>
        <a:prstGeom prst="roundRect">
          <a:avLst>
            <a:gd name="adj" fmla="val 132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POST ANALYSIS OBSERVATION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Arial" panose="020B0604020202020204" pitchFamily="34" charset="0"/>
              <a:ea typeface="+mn-ea"/>
              <a:cs typeface="Arial" panose="020B0604020202020204" pitchFamily="34" charset="0"/>
            </a:rPr>
            <a:t>F</a:t>
          </a:r>
          <a:r>
            <a:rPr lang="en-US" sz="1200" b="1" baseline="0">
              <a:solidFill>
                <a:schemeClr val="lt1"/>
              </a:solidFill>
              <a:effectLst/>
              <a:latin typeface="Arial" panose="020B0604020202020204" pitchFamily="34" charset="0"/>
              <a:ea typeface="+mn-ea"/>
              <a:cs typeface="Arial" panose="020B0604020202020204" pitchFamily="34" charset="0"/>
            </a:rPr>
            <a:t>or </a:t>
          </a:r>
          <a:r>
            <a:rPr lang="en-US" sz="1200" b="1">
              <a:solidFill>
                <a:schemeClr val="lt1"/>
              </a:solidFill>
              <a:effectLst/>
              <a:latin typeface="Arial" panose="020B0604020202020204" pitchFamily="34" charset="0"/>
              <a:ea typeface="+mn-ea"/>
              <a:cs typeface="Arial" panose="020B0604020202020204" pitchFamily="34" charset="0"/>
            </a:rPr>
            <a:t>Andrew Cercini</a:t>
          </a:r>
          <a:endParaRPr lang="en-US" sz="1200" b="1">
            <a:latin typeface="Arial" panose="020B0604020202020204" pitchFamily="34" charset="0"/>
            <a:cs typeface="Arial" panose="020B0604020202020204" pitchFamily="34" charset="0"/>
          </a:endParaRPr>
        </a:p>
        <a:p>
          <a:r>
            <a:rPr lang="en-US" b="0">
              <a:latin typeface="Arial" panose="020B0604020202020204" pitchFamily="34" charset="0"/>
              <a:cs typeface="Arial" panose="020B0604020202020204" pitchFamily="34" charset="0"/>
            </a:rPr>
            <a:t>1) Salesperson Performance</a:t>
          </a:r>
        </a:p>
        <a:p>
          <a:r>
            <a:rPr lang="en-US" b="0">
              <a:latin typeface="Arial" panose="020B0604020202020204" pitchFamily="34" charset="0"/>
              <a:cs typeface="Arial" panose="020B0604020202020204" pitchFamily="34" charset="0"/>
            </a:rPr>
            <a:t>All recorded revenue ($67,181) was generated by a single salesperson (Andrew Cercini).</a:t>
          </a:r>
        </a:p>
        <a:p>
          <a:r>
            <a:rPr lang="en-US" b="0">
              <a:latin typeface="Arial" panose="020B0604020202020204" pitchFamily="34" charset="0"/>
              <a:cs typeface="Arial" panose="020B0604020202020204" pitchFamily="34" charset="0"/>
            </a:rPr>
            <a:t>This shows strong individual performance but also highlights over-reliance on one sales resource.</a:t>
          </a:r>
        </a:p>
        <a:p>
          <a:r>
            <a:rPr lang="en-US" b="0">
              <a:latin typeface="Arial" panose="020B0604020202020204" pitchFamily="34" charset="0"/>
              <a:cs typeface="Arial" panose="020B0604020202020204" pitchFamily="34" charset="0"/>
            </a:rPr>
            <a:t>2) Regional Performance</a:t>
          </a:r>
        </a:p>
        <a:p>
          <a:r>
            <a:rPr lang="en-US" b="0">
              <a:latin typeface="Arial" panose="020B0604020202020204" pitchFamily="34" charset="0"/>
              <a:cs typeface="Arial" panose="020B0604020202020204" pitchFamily="34" charset="0"/>
            </a:rPr>
            <a:t>The East region accounts for 100% of total revenue.</a:t>
          </a:r>
        </a:p>
        <a:p>
          <a:r>
            <a:rPr lang="en-US" b="0">
              <a:latin typeface="Arial" panose="020B0604020202020204" pitchFamily="34" charset="0"/>
              <a:cs typeface="Arial" panose="020B0604020202020204" pitchFamily="34" charset="0"/>
            </a:rPr>
            <a:t>Other regions recorded no sales contribution within the period reviewed.</a:t>
          </a:r>
        </a:p>
        <a:p>
          <a:r>
            <a:rPr lang="en-US" b="0">
              <a:latin typeface="Arial" panose="020B0604020202020204" pitchFamily="34" charset="0"/>
              <a:cs typeface="Arial" panose="020B0604020202020204" pitchFamily="34" charset="0"/>
            </a:rPr>
            <a:t>3) Product Category Performance</a:t>
          </a:r>
        </a:p>
        <a:p>
          <a:r>
            <a:rPr lang="en-US" b="0">
              <a:latin typeface="Arial" panose="020B0604020202020204" pitchFamily="34" charset="0"/>
              <a:cs typeface="Arial" panose="020B0604020202020204" pitchFamily="34" charset="0"/>
            </a:rPr>
            <a:t>Jams &amp; Preserves is the top-performing category (~$41,391), contributing the largest share of revenue.</a:t>
          </a:r>
        </a:p>
        <a:p>
          <a:r>
            <a:rPr lang="en-US" b="0">
              <a:latin typeface="Arial" panose="020B0604020202020204" pitchFamily="34" charset="0"/>
              <a:cs typeface="Arial" panose="020B0604020202020204" pitchFamily="34" charset="0"/>
            </a:rPr>
            <a:t>Dried Fruits &amp; Nuts (~$11,670) and Pasta (~$9,120) show moderate performance.</a:t>
          </a:r>
        </a:p>
        <a:p>
          <a:r>
            <a:rPr lang="en-US" b="0">
              <a:latin typeface="Arial" panose="020B0604020202020204" pitchFamily="34" charset="0"/>
              <a:cs typeface="Arial" panose="020B0604020202020204" pitchFamily="34" charset="0"/>
            </a:rPr>
            <a:t>Grains (~$2,884) and Baked Goods &amp; Mixes (~$2,116) are underperforming categories.</a:t>
          </a:r>
        </a:p>
        <a:p>
          <a:r>
            <a:rPr lang="en-US" b="0">
              <a:latin typeface="Arial" panose="020B0604020202020204" pitchFamily="34" charset="0"/>
              <a:cs typeface="Arial" panose="020B0604020202020204" pitchFamily="34" charset="0"/>
            </a:rPr>
            <a:t>4) State Performance</a:t>
          </a:r>
        </a:p>
        <a:p>
          <a:r>
            <a:rPr lang="en-US" b="0">
              <a:latin typeface="Arial" panose="020B0604020202020204" pitchFamily="34" charset="0"/>
              <a:cs typeface="Arial" panose="020B0604020202020204" pitchFamily="34" charset="0"/>
            </a:rPr>
            <a:t>New York recorded the highest state revenue performance (~$67,181).</a:t>
          </a:r>
        </a:p>
        <a:p>
          <a:r>
            <a:rPr lang="en-US" b="0">
              <a:latin typeface="Arial" panose="020B0604020202020204" pitchFamily="34" charset="0"/>
              <a:cs typeface="Arial" panose="020B0604020202020204" pitchFamily="34" charset="0"/>
            </a:rPr>
            <a:t>Nevada recorded the lowest state revenue performance (~$15,366).</a:t>
          </a:r>
        </a:p>
        <a:p>
          <a:r>
            <a:rPr lang="en-US" b="0">
              <a:latin typeface="Arial" panose="020B0604020202020204" pitchFamily="34" charset="0"/>
              <a:cs typeface="Arial" panose="020B0604020202020204" pitchFamily="34" charset="0"/>
            </a:rPr>
            <a:t>Revenue distribution across states is uneven, with performance concentrated in a few locations.</a:t>
          </a:r>
        </a:p>
        <a:p>
          <a:r>
            <a:rPr lang="en-US" b="0">
              <a:latin typeface="Arial" panose="020B0604020202020204" pitchFamily="34" charset="0"/>
              <a:cs typeface="Arial" panose="020B0604020202020204" pitchFamily="34" charset="0"/>
            </a:rPr>
            <a:t>5) Monthly Sales Trend</a:t>
          </a:r>
        </a:p>
        <a:p>
          <a:r>
            <a:rPr lang="en-US" b="0">
              <a:latin typeface="Arial" panose="020B0604020202020204" pitchFamily="34" charset="0"/>
              <a:cs typeface="Arial" panose="020B0604020202020204" pitchFamily="34" charset="0"/>
            </a:rPr>
            <a:t>Sales peaked in May and December, indicating strong performance periods.</a:t>
          </a:r>
        </a:p>
        <a:p>
          <a:r>
            <a:rPr lang="en-US" b="0">
              <a:latin typeface="Arial" panose="020B0604020202020204" pitchFamily="34" charset="0"/>
              <a:cs typeface="Arial" panose="020B0604020202020204" pitchFamily="34" charset="0"/>
            </a:rPr>
            <a:t>Lower sales were recorded in February and April, showing noticeable demand dips.</a:t>
          </a:r>
        </a:p>
        <a:p>
          <a:r>
            <a:rPr lang="en-US" b="0">
              <a:latin typeface="Arial" panose="020B0604020202020204" pitchFamily="34" charset="0"/>
              <a:cs typeface="Arial" panose="020B0604020202020204" pitchFamily="34" charset="0"/>
            </a:rPr>
            <a:t>The trend suggests seasonality, with stronger results towards mid-year and year-end.</a:t>
          </a:r>
        </a:p>
        <a:p>
          <a:r>
            <a:rPr lang="en-US" b="0">
              <a:latin typeface="Arial" panose="020B0604020202020204" pitchFamily="34" charset="0"/>
              <a:cs typeface="Arial" panose="020B0604020202020204" pitchFamily="34" charset="0"/>
            </a:rPr>
            <a:t>6) Customer Concentration</a:t>
          </a:r>
        </a:p>
        <a:p>
          <a:r>
            <a:rPr lang="en-US" b="0">
              <a:latin typeface="Arial" panose="020B0604020202020204" pitchFamily="34" charset="0"/>
              <a:cs typeface="Arial" panose="020B0604020202020204" pitchFamily="34" charset="0"/>
            </a:rPr>
            <a:t>Company D is the top-performing customer, contributing ~$67,181.</a:t>
          </a:r>
        </a:p>
        <a:p>
          <a:r>
            <a:rPr lang="en-US" b="0">
              <a:latin typeface="Arial" panose="020B0604020202020204" pitchFamily="34" charset="0"/>
              <a:cs typeface="Arial" panose="020B0604020202020204" pitchFamily="34" charset="0"/>
            </a:rPr>
            <a:t>Revenue is highly concentrated on a single key customer</a:t>
          </a:r>
          <a:r>
            <a:rPr lang="en-US" b="1">
              <a:latin typeface="Arial" panose="020B0604020202020204" pitchFamily="34" charset="0"/>
              <a:cs typeface="Arial" panose="020B0604020202020204" pitchFamily="34" charset="0"/>
            </a:rPr>
            <a:t>.</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Arial" panose="020B0604020202020204" pitchFamily="34" charset="0"/>
              <a:ea typeface="+mn-ea"/>
              <a:cs typeface="Arial" panose="020B0604020202020204" pitchFamily="34" charset="0"/>
            </a:rPr>
            <a:t>For  Anne Larsen</a:t>
          </a:r>
          <a:endParaRPr lang="en-US" sz="1200" b="1">
            <a:latin typeface="Arial" panose="020B0604020202020204" pitchFamily="34" charset="0"/>
            <a:cs typeface="Arial" panose="020B0604020202020204" pitchFamily="34" charset="0"/>
          </a:endParaRPr>
        </a:p>
        <a:p>
          <a:r>
            <a:rPr lang="en-US" b="0">
              <a:latin typeface="Arial" panose="020B0604020202020204" pitchFamily="34" charset="0"/>
              <a:cs typeface="Arial" panose="020B0604020202020204" pitchFamily="34" charset="0"/>
            </a:rPr>
            <a:t>1) Salesperson Performance</a:t>
          </a:r>
        </a:p>
        <a:p>
          <a:r>
            <a:rPr lang="en-US" b="0">
              <a:latin typeface="Arial" panose="020B0604020202020204" pitchFamily="34" charset="0"/>
              <a:cs typeface="Arial" panose="020B0604020202020204" pitchFamily="34" charset="0"/>
            </a:rPr>
            <a:t>All recorded revenue ($93,858) was generated by Anne Larsen, making her the sole contributor in the period reviewed.</a:t>
          </a:r>
        </a:p>
        <a:p>
          <a:r>
            <a:rPr lang="en-US" b="0">
              <a:latin typeface="Arial" panose="020B0604020202020204" pitchFamily="34" charset="0"/>
              <a:cs typeface="Arial" panose="020B0604020202020204" pitchFamily="34" charset="0"/>
            </a:rPr>
            <a:t>This indicates very strong individual performance but no revenue contribution from other sales reps.</a:t>
          </a:r>
        </a:p>
        <a:p>
          <a:r>
            <a:rPr lang="en-US" b="0">
              <a:latin typeface="Arial" panose="020B0604020202020204" pitchFamily="34" charset="0"/>
              <a:cs typeface="Arial" panose="020B0604020202020204" pitchFamily="34" charset="0"/>
            </a:rPr>
            <a:t>2) Regional Sales Performance</a:t>
          </a:r>
        </a:p>
        <a:p>
          <a:r>
            <a:rPr lang="en-US" b="0">
              <a:latin typeface="Arial" panose="020B0604020202020204" pitchFamily="34" charset="0"/>
              <a:cs typeface="Arial" panose="020B0604020202020204" pitchFamily="34" charset="0"/>
            </a:rPr>
            <a:t>The South region accounts for 100% of total revenue.</a:t>
          </a:r>
        </a:p>
        <a:p>
          <a:r>
            <a:rPr lang="en-US" b="0">
              <a:latin typeface="Arial" panose="020B0604020202020204" pitchFamily="34" charset="0"/>
              <a:cs typeface="Arial" panose="020B0604020202020204" pitchFamily="34" charset="0"/>
            </a:rPr>
            <a:t>No revenue contribution is recorded from other regions within the analysis period.</a:t>
          </a:r>
        </a:p>
        <a:p>
          <a:r>
            <a:rPr lang="en-US" b="0">
              <a:latin typeface="Arial" panose="020B0604020202020204" pitchFamily="34" charset="0"/>
              <a:cs typeface="Arial" panose="020B0604020202020204" pitchFamily="34" charset="0"/>
            </a:rPr>
            <a:t>3) Product Category Performance</a:t>
          </a:r>
        </a:p>
        <a:p>
          <a:r>
            <a:rPr lang="en-US" b="0">
              <a:latin typeface="Arial" panose="020B0604020202020204" pitchFamily="34" charset="0"/>
              <a:cs typeface="Arial" panose="020B0604020202020204" pitchFamily="34" charset="0"/>
            </a:rPr>
            <a:t>Beverages is the highest-performing category (~$29,278), contributing the largest share of revenue.</a:t>
          </a:r>
        </a:p>
        <a:p>
          <a:r>
            <a:rPr lang="en-US" b="0">
              <a:latin typeface="Arial" panose="020B0604020202020204" pitchFamily="34" charset="0"/>
              <a:cs typeface="Arial" panose="020B0604020202020204" pitchFamily="34" charset="0"/>
            </a:rPr>
            <a:t>Canned Meat (~$19,118) and Sauces (~$18,480) show solid mid-tier performance.</a:t>
          </a:r>
        </a:p>
        <a:p>
          <a:r>
            <a:rPr lang="en-US" b="0">
              <a:latin typeface="Arial" panose="020B0604020202020204" pitchFamily="34" charset="0"/>
              <a:cs typeface="Arial" panose="020B0604020202020204" pitchFamily="34" charset="0"/>
            </a:rPr>
            <a:t>Oil (~$13,322) and Soups (~$10,663) are the lowest-performing categories.</a:t>
          </a:r>
        </a:p>
        <a:p>
          <a:r>
            <a:rPr lang="en-US" b="0">
              <a:latin typeface="Arial" panose="020B0604020202020204" pitchFamily="34" charset="0"/>
              <a:cs typeface="Arial" panose="020B0604020202020204" pitchFamily="34" charset="0"/>
            </a:rPr>
            <a:t>4) State Performance by Revenue</a:t>
          </a:r>
        </a:p>
        <a:p>
          <a:r>
            <a:rPr lang="en-US" b="0">
              <a:latin typeface="Arial" panose="020B0604020202020204" pitchFamily="34" charset="0"/>
              <a:cs typeface="Arial" panose="020B0604020202020204" pitchFamily="34" charset="0"/>
            </a:rPr>
            <a:t>Revenue performance is uneven across states, with a few states contributing significantly more than others.</a:t>
          </a:r>
        </a:p>
        <a:p>
          <a:r>
            <a:rPr lang="en-US" b="0">
              <a:latin typeface="Arial" panose="020B0604020202020204" pitchFamily="34" charset="0"/>
              <a:cs typeface="Arial" panose="020B0604020202020204" pitchFamily="34" charset="0"/>
            </a:rPr>
            <a:t>The spread indicates concentration of revenue in limited geographic locations, with several states underpenetrated.</a:t>
          </a:r>
        </a:p>
        <a:p>
          <a:r>
            <a:rPr lang="en-US" b="0">
              <a:latin typeface="Arial" panose="020B0604020202020204" pitchFamily="34" charset="0"/>
              <a:cs typeface="Arial" panose="020B0604020202020204" pitchFamily="34" charset="0"/>
            </a:rPr>
            <a:t>5) Sales Trend Over the Year</a:t>
          </a:r>
        </a:p>
        <a:p>
          <a:r>
            <a:rPr lang="en-US" b="0">
              <a:latin typeface="Arial" panose="020B0604020202020204" pitchFamily="34" charset="0"/>
              <a:cs typeface="Arial" panose="020B0604020202020204" pitchFamily="34" charset="0"/>
            </a:rPr>
            <a:t>Sales show a fluctuating pattern with stronger performance in the last quarter (Oct–Dec), peaking in December (~$12,458).</a:t>
          </a:r>
        </a:p>
        <a:p>
          <a:r>
            <a:rPr lang="en-US" b="0">
              <a:latin typeface="Arial" panose="020B0604020202020204" pitchFamily="34" charset="0"/>
              <a:cs typeface="Arial" panose="020B0604020202020204" pitchFamily="34" charset="0"/>
            </a:rPr>
            <a:t>Lower performance is observed mid-year, with noticeable dips around April and August.</a:t>
          </a:r>
        </a:p>
        <a:p>
          <a:r>
            <a:rPr lang="en-US" b="0">
              <a:latin typeface="Arial" panose="020B0604020202020204" pitchFamily="34" charset="0"/>
              <a:cs typeface="Arial" panose="020B0604020202020204" pitchFamily="34" charset="0"/>
            </a:rPr>
            <a:t>This suggests seasonality and inconsistent monthly demand.</a:t>
          </a:r>
        </a:p>
        <a:p>
          <a:r>
            <a:rPr lang="en-US" b="0">
              <a:latin typeface="Arial" panose="020B0604020202020204" pitchFamily="34" charset="0"/>
              <a:cs typeface="Arial" panose="020B0604020202020204" pitchFamily="34" charset="0"/>
            </a:rPr>
            <a:t>6) Customer Concentration</a:t>
          </a:r>
        </a:p>
        <a:p>
          <a:r>
            <a:rPr lang="en-US" b="0">
              <a:latin typeface="Arial" panose="020B0604020202020204" pitchFamily="34" charset="0"/>
              <a:cs typeface="Arial" panose="020B0604020202020204" pitchFamily="34" charset="0"/>
            </a:rPr>
            <a:t>Company BB is the top-performing customer (~$43,713).</a:t>
          </a:r>
        </a:p>
        <a:p>
          <a:r>
            <a:rPr lang="en-US" b="0">
              <a:latin typeface="Arial" panose="020B0604020202020204" pitchFamily="34" charset="0"/>
              <a:cs typeface="Arial" panose="020B0604020202020204" pitchFamily="34" charset="0"/>
            </a:rPr>
            <a:t>Company Z (~$28,208) and Company K (~$21,937) follow behind.</a:t>
          </a:r>
        </a:p>
        <a:p>
          <a:r>
            <a:rPr lang="en-US" b="0">
              <a:latin typeface="Arial" panose="020B0604020202020204" pitchFamily="34" charset="0"/>
              <a:cs typeface="Arial" panose="020B0604020202020204" pitchFamily="34" charset="0"/>
            </a:rPr>
            <a:t>Revenue is heavily concentrated among the top 3 customers, with one customer contributing a disproportionately large share.</a:t>
          </a:r>
        </a:p>
        <a:p>
          <a:endParaRPr lang="en-US"/>
        </a:p>
        <a:p>
          <a:r>
            <a:rPr lang="en-US" sz="1200" b="1">
              <a:latin typeface="Arial" panose="020B0604020202020204" pitchFamily="34" charset="0"/>
              <a:cs typeface="Arial" panose="020B0604020202020204" pitchFamily="34" charset="0"/>
            </a:rPr>
            <a:t>For</a:t>
          </a:r>
          <a:r>
            <a:rPr lang="en-US" sz="1200" b="1" baseline="0">
              <a:latin typeface="Arial" panose="020B0604020202020204" pitchFamily="34" charset="0"/>
              <a:cs typeface="Arial" panose="020B0604020202020204" pitchFamily="34" charset="0"/>
            </a:rPr>
            <a:t> Jan Kotas</a:t>
          </a:r>
          <a:endParaRPr lang="en-US" sz="1200" b="1">
            <a:latin typeface="Arial" panose="020B0604020202020204" pitchFamily="34" charset="0"/>
            <a:cs typeface="Arial" panose="020B0604020202020204" pitchFamily="34" charset="0"/>
          </a:endParaRPr>
        </a:p>
        <a:p>
          <a:r>
            <a:rPr lang="en-US" b="0">
              <a:latin typeface="Arial" panose="020B0604020202020204" pitchFamily="34" charset="0"/>
              <a:cs typeface="Arial" panose="020B0604020202020204" pitchFamily="34" charset="0"/>
            </a:rPr>
            <a:t>1) Salesperson Performance</a:t>
          </a:r>
        </a:p>
        <a:p>
          <a:r>
            <a:rPr lang="en-US" b="0">
              <a:latin typeface="Arial" panose="020B0604020202020204" pitchFamily="34" charset="0"/>
              <a:cs typeface="Arial" panose="020B0604020202020204" pitchFamily="34" charset="0"/>
            </a:rPr>
            <a:t>All recorded revenue ($16,351) was generated by Jan Kotas.</a:t>
          </a:r>
        </a:p>
        <a:p>
          <a:r>
            <a:rPr lang="en-US" b="0">
              <a:latin typeface="Arial" panose="020B0604020202020204" pitchFamily="34" charset="0"/>
              <a:cs typeface="Arial" panose="020B0604020202020204" pitchFamily="34" charset="0"/>
            </a:rPr>
            <a:t>No other salesperson contributed revenue within the period reviewed.</a:t>
          </a:r>
        </a:p>
        <a:p>
          <a:r>
            <a:rPr lang="en-US" b="0">
              <a:latin typeface="Arial" panose="020B0604020202020204" pitchFamily="34" charset="0"/>
              <a:cs typeface="Arial" panose="020B0604020202020204" pitchFamily="34" charset="0"/>
            </a:rPr>
            <a:t>2) Regional Sales Performance</a:t>
          </a:r>
        </a:p>
        <a:p>
          <a:r>
            <a:rPr lang="en-US" b="0">
              <a:latin typeface="Arial" panose="020B0604020202020204" pitchFamily="34" charset="0"/>
              <a:cs typeface="Arial" panose="020B0604020202020204" pitchFamily="34" charset="0"/>
            </a:rPr>
            <a:t>The West region accounts for 100% of total revenue.</a:t>
          </a:r>
        </a:p>
        <a:p>
          <a:r>
            <a:rPr lang="en-US" b="0">
              <a:latin typeface="Arial" panose="020B0604020202020204" pitchFamily="34" charset="0"/>
              <a:cs typeface="Arial" panose="020B0604020202020204" pitchFamily="34" charset="0"/>
            </a:rPr>
            <a:t>Other regions recorded no sales activity in the period.</a:t>
          </a:r>
        </a:p>
        <a:p>
          <a:r>
            <a:rPr lang="en-US" b="0">
              <a:latin typeface="Arial" panose="020B0604020202020204" pitchFamily="34" charset="0"/>
              <a:cs typeface="Arial" panose="020B0604020202020204" pitchFamily="34" charset="0"/>
            </a:rPr>
            <a:t>3) Product Category Performance</a:t>
          </a:r>
        </a:p>
        <a:p>
          <a:r>
            <a:rPr lang="en-US" b="0">
              <a:latin typeface="Arial" panose="020B0604020202020204" pitchFamily="34" charset="0"/>
              <a:cs typeface="Arial" panose="020B0604020202020204" pitchFamily="34" charset="0"/>
            </a:rPr>
            <a:t>Beverages ($6,986) and Fruit &amp; Veg ($6,942) are the top-performing categories, contributing nearly equal shares of revenue.</a:t>
          </a:r>
        </a:p>
        <a:p>
          <a:r>
            <a:rPr lang="en-US" b="0">
              <a:latin typeface="Arial" panose="020B0604020202020204" pitchFamily="34" charset="0"/>
              <a:cs typeface="Arial" panose="020B0604020202020204" pitchFamily="34" charset="0"/>
            </a:rPr>
            <a:t>Candy ($2,423) is the lowest-performing category, contributing a significantly smaller portion of total sales.</a:t>
          </a:r>
        </a:p>
        <a:p>
          <a:r>
            <a:rPr lang="en-US" b="0">
              <a:latin typeface="Arial" panose="020B0604020202020204" pitchFamily="34" charset="0"/>
              <a:cs typeface="Arial" panose="020B0604020202020204" pitchFamily="34" charset="0"/>
            </a:rPr>
            <a:t>4) State Performance by Revenue</a:t>
          </a:r>
        </a:p>
        <a:p>
          <a:r>
            <a:rPr lang="en-US" b="0">
              <a:latin typeface="Arial" panose="020B0604020202020204" pitchFamily="34" charset="0"/>
              <a:cs typeface="Arial" panose="020B0604020202020204" pitchFamily="34" charset="0"/>
            </a:rPr>
            <a:t>Revenue contribution is concentrated in a few states, with several states showing minimal or no activity.</a:t>
          </a:r>
        </a:p>
        <a:p>
          <a:r>
            <a:rPr lang="en-US" b="0">
              <a:latin typeface="Arial" panose="020B0604020202020204" pitchFamily="34" charset="0"/>
              <a:cs typeface="Arial" panose="020B0604020202020204" pitchFamily="34" charset="0"/>
            </a:rPr>
            <a:t>This highlights uneven geographic performance across states within the West region.</a:t>
          </a:r>
        </a:p>
        <a:p>
          <a:r>
            <a:rPr lang="en-US" b="0">
              <a:latin typeface="Arial" panose="020B0604020202020204" pitchFamily="34" charset="0"/>
              <a:cs typeface="Arial" panose="020B0604020202020204" pitchFamily="34" charset="0"/>
            </a:rPr>
            <a:t>5) Sales Trend Over the Year</a:t>
          </a:r>
        </a:p>
        <a:p>
          <a:r>
            <a:rPr lang="en-US" b="0">
              <a:latin typeface="Arial" panose="020B0604020202020204" pitchFamily="34" charset="0"/>
              <a:cs typeface="Arial" panose="020B0604020202020204" pitchFamily="34" charset="0"/>
            </a:rPr>
            <a:t>Sales show high volatility across months.</a:t>
          </a:r>
        </a:p>
        <a:p>
          <a:r>
            <a:rPr lang="en-US" b="0">
              <a:latin typeface="Arial" panose="020B0604020202020204" pitchFamily="34" charset="0"/>
              <a:cs typeface="Arial" panose="020B0604020202020204" pitchFamily="34" charset="0"/>
            </a:rPr>
            <a:t>A strong peak is observed in May ($4,928) and December ($4,049).</a:t>
          </a:r>
        </a:p>
        <a:p>
          <a:r>
            <a:rPr lang="en-US" b="0">
              <a:latin typeface="Arial" panose="020B0604020202020204" pitchFamily="34" charset="0"/>
              <a:cs typeface="Arial" panose="020B0604020202020204" pitchFamily="34" charset="0"/>
            </a:rPr>
            <a:t>Several low-performing months occur mid-year (June–September), indicating inconsistent monthly demand.</a:t>
          </a:r>
        </a:p>
        <a:p>
          <a:r>
            <a:rPr lang="en-US" b="0">
              <a:latin typeface="Arial" panose="020B0604020202020204" pitchFamily="34" charset="0"/>
              <a:cs typeface="Arial" panose="020B0604020202020204" pitchFamily="34" charset="0"/>
            </a:rPr>
            <a:t>6) Customer Concentration</a:t>
          </a:r>
        </a:p>
        <a:p>
          <a:r>
            <a:rPr lang="en-US" b="0">
              <a:latin typeface="Arial" panose="020B0604020202020204" pitchFamily="34" charset="0"/>
              <a:cs typeface="Arial" panose="020B0604020202020204" pitchFamily="34" charset="0"/>
            </a:rPr>
            <a:t>Company CC is the top-performing customer, contributing the full recorded revenue of $16,351.</a:t>
          </a:r>
        </a:p>
        <a:p>
          <a:r>
            <a:rPr lang="en-US" b="0">
              <a:latin typeface="Arial" panose="020B0604020202020204" pitchFamily="34" charset="0"/>
              <a:cs typeface="Arial" panose="020B0604020202020204" pitchFamily="34" charset="0"/>
            </a:rPr>
            <a:t>This shows total dependence on a single customer during the period.</a:t>
          </a:r>
        </a:p>
        <a:p>
          <a:endParaRPr lang="en-US" b="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Arial" panose="020B0604020202020204" pitchFamily="34" charset="0"/>
              <a:ea typeface="+mn-ea"/>
              <a:cs typeface="Arial" panose="020B0604020202020204" pitchFamily="34" charset="0"/>
            </a:rPr>
            <a:t>For  Laura Giussani </a:t>
          </a:r>
          <a:endParaRPr lang="en-US" sz="1200" b="1">
            <a:latin typeface="Arial" panose="020B0604020202020204" pitchFamily="34" charset="0"/>
            <a:cs typeface="Arial" panose="020B0604020202020204" pitchFamily="34" charset="0"/>
          </a:endParaRPr>
        </a:p>
        <a:p>
          <a:r>
            <a:rPr lang="en-US" b="0">
              <a:latin typeface="Arial" panose="020B0604020202020204" pitchFamily="34" charset="0"/>
              <a:cs typeface="Arial" panose="020B0604020202020204" pitchFamily="34" charset="0"/>
            </a:rPr>
            <a:t>1) Salesperson Performance</a:t>
          </a:r>
        </a:p>
        <a:p>
          <a:r>
            <a:rPr lang="en-US" b="0">
              <a:latin typeface="Arial" panose="020B0604020202020204" pitchFamily="34" charset="0"/>
              <a:cs typeface="Arial" panose="020B0604020202020204" pitchFamily="34" charset="0"/>
            </a:rPr>
            <a:t>Total revenue of $41,095 was generated by Laura Giussani alone.</a:t>
          </a:r>
        </a:p>
        <a:p>
          <a:r>
            <a:rPr lang="en-US" b="0">
              <a:latin typeface="Arial" panose="020B0604020202020204" pitchFamily="34" charset="0"/>
              <a:cs typeface="Arial" panose="020B0604020202020204" pitchFamily="34" charset="0"/>
            </a:rPr>
            <a:t>No other salespersons contributed revenue in the period reviewed.</a:t>
          </a:r>
        </a:p>
        <a:p>
          <a:r>
            <a:rPr lang="en-US" b="0">
              <a:latin typeface="Arial" panose="020B0604020202020204" pitchFamily="34" charset="0"/>
              <a:cs typeface="Arial" panose="020B0604020202020204" pitchFamily="34" charset="0"/>
            </a:rPr>
            <a:t>2) Regional Sales Performance</a:t>
          </a:r>
        </a:p>
        <a:p>
          <a:r>
            <a:rPr lang="en-US" b="0">
              <a:latin typeface="Arial" panose="020B0604020202020204" pitchFamily="34" charset="0"/>
              <a:cs typeface="Arial" panose="020B0604020202020204" pitchFamily="34" charset="0"/>
            </a:rPr>
            <a:t>The East region accounts for 100% of total revenue.</a:t>
          </a:r>
        </a:p>
        <a:p>
          <a:r>
            <a:rPr lang="en-US" b="0">
              <a:latin typeface="Arial" panose="020B0604020202020204" pitchFamily="34" charset="0"/>
              <a:cs typeface="Arial" panose="020B0604020202020204" pitchFamily="34" charset="0"/>
            </a:rPr>
            <a:t>Other regions recorded no sales contribution during the analysis period.</a:t>
          </a:r>
        </a:p>
        <a:p>
          <a:r>
            <a:rPr lang="en-US" b="0">
              <a:latin typeface="Arial" panose="020B0604020202020204" pitchFamily="34" charset="0"/>
              <a:cs typeface="Arial" panose="020B0604020202020204" pitchFamily="34" charset="0"/>
            </a:rPr>
            <a:t>3) Product Category Performance</a:t>
          </a:r>
        </a:p>
        <a:p>
          <a:r>
            <a:rPr lang="en-US" b="0">
              <a:latin typeface="Arial" panose="020B0604020202020204" pitchFamily="34" charset="0"/>
              <a:cs typeface="Arial" panose="020B0604020202020204" pitchFamily="34" charset="0"/>
            </a:rPr>
            <a:t>Condiments is the top-performing category ($15,048).</a:t>
          </a:r>
        </a:p>
        <a:p>
          <a:r>
            <a:rPr lang="en-US" b="0">
              <a:latin typeface="Arial" panose="020B0604020202020204" pitchFamily="34" charset="0"/>
              <a:cs typeface="Arial" panose="020B0604020202020204" pitchFamily="34" charset="0"/>
            </a:rPr>
            <a:t>Baked Goods &amp; Mixes follows with $10,682, while Jams &amp; Preserves delivered $8,850.</a:t>
          </a:r>
        </a:p>
        <a:p>
          <a:r>
            <a:rPr lang="en-US" b="0">
              <a:latin typeface="Arial" panose="020B0604020202020204" pitchFamily="34" charset="0"/>
              <a:cs typeface="Arial" panose="020B0604020202020204" pitchFamily="34" charset="0"/>
            </a:rPr>
            <a:t>Dried Fruit &amp; Nuts contributed $5,592.</a:t>
          </a:r>
        </a:p>
        <a:p>
          <a:r>
            <a:rPr lang="en-US" b="0">
              <a:latin typeface="Arial" panose="020B0604020202020204" pitchFamily="34" charset="0"/>
              <a:cs typeface="Arial" panose="020B0604020202020204" pitchFamily="34" charset="0"/>
            </a:rPr>
            <a:t>Beverages is the lowest-performing category ($924), showing very weak demand relative to other categories.</a:t>
          </a:r>
        </a:p>
        <a:p>
          <a:r>
            <a:rPr lang="en-US" b="0">
              <a:latin typeface="Arial" panose="020B0604020202020204" pitchFamily="34" charset="0"/>
              <a:cs typeface="Arial" panose="020B0604020202020204" pitchFamily="34" charset="0"/>
            </a:rPr>
            <a:t>4) State Performance by Revenue</a:t>
          </a:r>
        </a:p>
        <a:p>
          <a:r>
            <a:rPr lang="en-US" b="0">
              <a:latin typeface="Arial" panose="020B0604020202020204" pitchFamily="34" charset="0"/>
              <a:cs typeface="Arial" panose="020B0604020202020204" pitchFamily="34" charset="0"/>
            </a:rPr>
            <a:t>Revenue is concentrated in a small number of states, with many states showing little or no contribution.</a:t>
          </a:r>
        </a:p>
        <a:p>
          <a:r>
            <a:rPr lang="en-US" b="0">
              <a:latin typeface="Arial" panose="020B0604020202020204" pitchFamily="34" charset="0"/>
              <a:cs typeface="Arial" panose="020B0604020202020204" pitchFamily="34" charset="0"/>
            </a:rPr>
            <a:t>The performance range across states is wide, indicating uneven geographic penetration within the East region.</a:t>
          </a:r>
        </a:p>
        <a:p>
          <a:r>
            <a:rPr lang="en-US" b="0">
              <a:latin typeface="Arial" panose="020B0604020202020204" pitchFamily="34" charset="0"/>
              <a:cs typeface="Arial" panose="020B0604020202020204" pitchFamily="34" charset="0"/>
            </a:rPr>
            <a:t>5) Sales Trend Over the Year</a:t>
          </a:r>
        </a:p>
        <a:p>
          <a:r>
            <a:rPr lang="en-US" b="0">
              <a:latin typeface="Arial" panose="020B0604020202020204" pitchFamily="34" charset="0"/>
              <a:cs typeface="Arial" panose="020B0604020202020204" pitchFamily="34" charset="0"/>
            </a:rPr>
            <a:t>Monthly sales show fluctuations with peaks around June ($6,701) and December ($6,618).</a:t>
          </a:r>
        </a:p>
        <a:p>
          <a:r>
            <a:rPr lang="en-US" b="0">
              <a:latin typeface="Arial" panose="020B0604020202020204" pitchFamily="34" charset="0"/>
              <a:cs typeface="Arial" panose="020B0604020202020204" pitchFamily="34" charset="0"/>
            </a:rPr>
            <a:t>Lower sales are observed in early months and mid-year dips (notably around March and July).</a:t>
          </a:r>
        </a:p>
        <a:p>
          <a:r>
            <a:rPr lang="en-US" b="0">
              <a:latin typeface="Arial" panose="020B0604020202020204" pitchFamily="34" charset="0"/>
              <a:cs typeface="Arial" panose="020B0604020202020204" pitchFamily="34" charset="0"/>
            </a:rPr>
            <a:t>This indicates seasonality and inconsistent monthly demand patterns.</a:t>
          </a:r>
        </a:p>
        <a:p>
          <a:r>
            <a:rPr lang="en-US" b="0">
              <a:latin typeface="Arial" panose="020B0604020202020204" pitchFamily="34" charset="0"/>
              <a:cs typeface="Arial" panose="020B0604020202020204" pitchFamily="34" charset="0"/>
            </a:rPr>
            <a:t>6) Customer Concentration</a:t>
          </a:r>
        </a:p>
        <a:p>
          <a:r>
            <a:rPr lang="en-US" b="0">
              <a:latin typeface="Arial" panose="020B0604020202020204" pitchFamily="34" charset="0"/>
              <a:cs typeface="Arial" panose="020B0604020202020204" pitchFamily="34" charset="0"/>
            </a:rPr>
            <a:t>Company J is the top-performing customer, contributing $29,133.</a:t>
          </a:r>
        </a:p>
        <a:p>
          <a:r>
            <a:rPr lang="en-US" b="0">
              <a:latin typeface="Arial" panose="020B0604020202020204" pitchFamily="34" charset="0"/>
              <a:cs typeface="Arial" panose="020B0604020202020204" pitchFamily="34" charset="0"/>
            </a:rPr>
            <a:t>Company Y is significantly lower at $11,962.</a:t>
          </a:r>
        </a:p>
        <a:p>
          <a:r>
            <a:rPr lang="en-US" b="0">
              <a:latin typeface="Arial" panose="020B0604020202020204" pitchFamily="34" charset="0"/>
              <a:cs typeface="Arial" panose="020B0604020202020204" pitchFamily="34" charset="0"/>
            </a:rPr>
            <a:t>Revenue is highly concentrated in a single customer, with a large performance gap between top and next customers.</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Arial" panose="020B0604020202020204" pitchFamily="34" charset="0"/>
              <a:ea typeface="+mn-ea"/>
              <a:cs typeface="Arial" panose="020B0604020202020204" pitchFamily="34" charset="0"/>
            </a:rPr>
            <a:t>For Mariya Sergienko  </a:t>
          </a:r>
          <a:endParaRPr lang="en-US" b="1">
            <a:latin typeface="Arial" panose="020B0604020202020204" pitchFamily="34" charset="0"/>
            <a:cs typeface="Arial" panose="020B0604020202020204" pitchFamily="34" charset="0"/>
          </a:endParaRPr>
        </a:p>
        <a:p>
          <a:r>
            <a:rPr lang="en-US" b="0">
              <a:latin typeface="Arial" panose="020B0604020202020204" pitchFamily="34" charset="0"/>
              <a:cs typeface="Arial" panose="020B0604020202020204" pitchFamily="34" charset="0"/>
            </a:rPr>
            <a:t>Salesperson Performance: </a:t>
          </a:r>
        </a:p>
        <a:p>
          <a:r>
            <a:rPr lang="en-US" b="0">
              <a:latin typeface="Arial" panose="020B0604020202020204" pitchFamily="34" charset="0"/>
              <a:cs typeface="Arial" panose="020B0604020202020204" pitchFamily="34" charset="0"/>
            </a:rPr>
            <a:t>Mariya Sergienko is the sole contributor, generating $42,371. This suggests either a single-salesperson operation or incomplete data entry for others.</a:t>
          </a:r>
        </a:p>
        <a:p>
          <a:r>
            <a:rPr lang="en-US" b="0">
              <a:latin typeface="Arial" panose="020B0604020202020204" pitchFamily="34" charset="0"/>
              <a:cs typeface="Arial" panose="020B0604020202020204" pitchFamily="34" charset="0"/>
            </a:rPr>
            <a:t>Regional Sales: 100% of sales are from the West region, indicating either a strong regional focus or lack of diversification.</a:t>
          </a:r>
        </a:p>
        <a:p>
          <a:r>
            <a:rPr lang="en-US" b="0">
              <a:latin typeface="Arial" panose="020B0604020202020204" pitchFamily="34" charset="0"/>
              <a:cs typeface="Arial" panose="020B0604020202020204" pitchFamily="34" charset="0"/>
            </a:rPr>
            <a:t>Product Category Breakdown: </a:t>
          </a:r>
        </a:p>
        <a:p>
          <a:r>
            <a:rPr lang="en-US" b="0">
              <a:latin typeface="Arial" panose="020B0604020202020204" pitchFamily="34" charset="0"/>
              <a:cs typeface="Arial" panose="020B0604020202020204" pitchFamily="34" charset="0"/>
            </a:rPr>
            <a:t>Sauces ($18,080) and Beverages ($15,515) dominate.</a:t>
          </a:r>
        </a:p>
        <a:p>
          <a:r>
            <a:rPr lang="en-US" b="0">
              <a:latin typeface="Arial" panose="020B0604020202020204" pitchFamily="34" charset="0"/>
              <a:cs typeface="Arial" panose="020B0604020202020204" pitchFamily="34" charset="0"/>
            </a:rPr>
            <a:t>Condiments ($5,230) and Soups ($3,136) are moderate.</a:t>
          </a:r>
        </a:p>
        <a:p>
          <a:r>
            <a:rPr lang="en-US" b="0">
              <a:latin typeface="Arial" panose="020B0604020202020204" pitchFamily="34" charset="0"/>
              <a:cs typeface="Arial" panose="020B0604020202020204" pitchFamily="34" charset="0"/>
            </a:rPr>
            <a:t>Dried Fruit &amp; Nuts ($410) are negligible.</a:t>
          </a:r>
        </a:p>
        <a:p>
          <a:r>
            <a:rPr lang="en-US" b="0">
              <a:latin typeface="Arial" panose="020B0604020202020204" pitchFamily="34" charset="0"/>
              <a:cs typeface="Arial" panose="020B0604020202020204" pitchFamily="34" charset="0"/>
            </a:rPr>
            <a:t>State Revenue Distribution: Revenue ranges widely ($15,366–$67,181), showing uneven state-level performance.</a:t>
          </a:r>
        </a:p>
        <a:p>
          <a:r>
            <a:rPr lang="en-US" b="0">
              <a:latin typeface="Arial" panose="020B0604020202020204" pitchFamily="34" charset="0"/>
              <a:cs typeface="Arial" panose="020B0604020202020204" pitchFamily="34" charset="0"/>
            </a:rPr>
            <a:t>Monthly Sales Trend: </a:t>
          </a:r>
        </a:p>
        <a:p>
          <a:r>
            <a:rPr lang="en-US" b="0">
              <a:latin typeface="Arial" panose="020B0604020202020204" pitchFamily="34" charset="0"/>
              <a:cs typeface="Arial" panose="020B0604020202020204" pitchFamily="34" charset="0"/>
            </a:rPr>
            <a:t>Strong months: April ($6,665) and December ($7,653).</a:t>
          </a:r>
        </a:p>
        <a:p>
          <a:r>
            <a:rPr lang="en-US" b="0">
              <a:latin typeface="Arial" panose="020B0604020202020204" pitchFamily="34" charset="0"/>
              <a:cs typeface="Arial" panose="020B0604020202020204" pitchFamily="34" charset="0"/>
            </a:rPr>
            <a:t>Weak months: June ($621) and November ($120).</a:t>
          </a:r>
        </a:p>
        <a:p>
          <a:r>
            <a:rPr lang="en-US" b="0">
              <a:latin typeface="Arial" panose="020B0604020202020204" pitchFamily="34" charset="0"/>
              <a:cs typeface="Arial" panose="020B0604020202020204" pitchFamily="34" charset="0"/>
            </a:rPr>
            <a:t>Overall volatility with inconsistent growth.</a:t>
          </a:r>
        </a:p>
        <a:p>
          <a:r>
            <a:rPr lang="en-US" b="0">
              <a:latin typeface="Arial" panose="020B0604020202020204" pitchFamily="34" charset="0"/>
              <a:cs typeface="Arial" panose="020B0604020202020204" pitchFamily="34" charset="0"/>
            </a:rPr>
            <a:t>Top Customers: </a:t>
          </a:r>
        </a:p>
        <a:p>
          <a:r>
            <a:rPr lang="en-US" b="0">
              <a:latin typeface="Arial" panose="020B0604020202020204" pitchFamily="34" charset="0"/>
              <a:cs typeface="Arial" panose="020B0604020202020204" pitchFamily="34" charset="0"/>
            </a:rPr>
            <a:t>Company C ($27,005) is the largest contributor.</a:t>
          </a:r>
        </a:p>
        <a:p>
          <a:r>
            <a:rPr lang="en-US" b="0">
              <a:latin typeface="Arial" panose="020B0604020202020204" pitchFamily="34" charset="0"/>
              <a:cs typeface="Arial" panose="020B0604020202020204" pitchFamily="34" charset="0"/>
            </a:rPr>
            <a:t>Company L ($14,074) is secondary.</a:t>
          </a:r>
        </a:p>
        <a:p>
          <a:r>
            <a:rPr lang="en-US" b="0">
              <a:latin typeface="Arial" panose="020B0604020202020204" pitchFamily="34" charset="0"/>
              <a:cs typeface="Arial" panose="020B0604020202020204" pitchFamily="34" charset="0"/>
            </a:rPr>
            <a:t>Company AA ($1,292) is minimal.</a:t>
          </a:r>
        </a:p>
        <a:p>
          <a:endParaRPr lang="en-US"/>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Arial" panose="020B0604020202020204" pitchFamily="34" charset="0"/>
              <a:ea typeface="+mn-ea"/>
              <a:cs typeface="Arial" panose="020B0604020202020204" pitchFamily="34" charset="0"/>
            </a:rPr>
            <a:t>For Michael Neipper </a:t>
          </a:r>
          <a:endParaRPr lang="en-US" sz="1200" b="1">
            <a:latin typeface="Arial" panose="020B0604020202020204" pitchFamily="34" charset="0"/>
            <a:cs typeface="Arial" panose="020B0604020202020204" pitchFamily="34" charset="0"/>
          </a:endParaRPr>
        </a:p>
        <a:p>
          <a:r>
            <a:rPr lang="en-US" b="0">
              <a:latin typeface="Arial" panose="020B0604020202020204" pitchFamily="34" charset="0"/>
              <a:cs typeface="Arial" panose="020B0604020202020204" pitchFamily="34" charset="0"/>
            </a:rPr>
            <a:t>Salesperson Performance: Michael Neipper is the sole contributor, generating $37,428. Similar to the earlier dashboard, this indicates either a one-person sales team or missing data for others.</a:t>
          </a:r>
        </a:p>
        <a:p>
          <a:r>
            <a:rPr lang="en-US" b="0">
              <a:latin typeface="Arial" panose="020B0604020202020204" pitchFamily="34" charset="0"/>
              <a:cs typeface="Arial" panose="020B0604020202020204" pitchFamily="34" charset="0"/>
            </a:rPr>
            <a:t>Regional Sales: 100% of sales are concentrated in the North region, showing no diversification across other regions.</a:t>
          </a:r>
        </a:p>
        <a:p>
          <a:r>
            <a:rPr lang="en-US" b="0">
              <a:latin typeface="Arial" panose="020B0604020202020204" pitchFamily="34" charset="0"/>
              <a:cs typeface="Arial" panose="020B0604020202020204" pitchFamily="34" charset="0"/>
            </a:rPr>
            <a:t>Product Category Breakdown: </a:t>
          </a:r>
        </a:p>
        <a:p>
          <a:r>
            <a:rPr lang="en-US" b="0">
              <a:latin typeface="Arial" panose="020B0604020202020204" pitchFamily="34" charset="0"/>
              <a:cs typeface="Arial" panose="020B0604020202020204" pitchFamily="34" charset="0"/>
            </a:rPr>
            <a:t>Beverages ($10,178), Sauces ($9,520), Candy ($9,078), and Dried Fruit &amp; Nuts ($8,642) are relatively balanced, each contributing significantly.</a:t>
          </a:r>
        </a:p>
        <a:p>
          <a:r>
            <a:rPr lang="en-US" b="0">
              <a:latin typeface="Arial" panose="020B0604020202020204" pitchFamily="34" charset="0"/>
              <a:cs typeface="Arial" panose="020B0604020202020204" pitchFamily="34" charset="0"/>
            </a:rPr>
            <a:t>Shipping Fee ($10) is negligible and likely a placeholder or incidental.</a:t>
          </a:r>
        </a:p>
        <a:p>
          <a:r>
            <a:rPr lang="en-US" b="0">
              <a:latin typeface="Arial" panose="020B0604020202020204" pitchFamily="34" charset="0"/>
              <a:cs typeface="Arial" panose="020B0604020202020204" pitchFamily="34" charset="0"/>
            </a:rPr>
            <a:t>State Revenue Distribution: States show revenue variation between $15,366 and $67,181, suggesting uneven penetration across the North.</a:t>
          </a:r>
        </a:p>
        <a:p>
          <a:r>
            <a:rPr lang="en-US" b="0">
              <a:latin typeface="Arial" panose="020B0604020202020204" pitchFamily="34" charset="0"/>
              <a:cs typeface="Arial" panose="020B0604020202020204" pitchFamily="34" charset="0"/>
            </a:rPr>
            <a:t>Monthly Sales Trend: </a:t>
          </a:r>
        </a:p>
        <a:p>
          <a:r>
            <a:rPr lang="en-US" b="0">
              <a:latin typeface="Arial" panose="020B0604020202020204" pitchFamily="34" charset="0"/>
              <a:cs typeface="Arial" panose="020B0604020202020204" pitchFamily="34" charset="0"/>
            </a:rPr>
            <a:t>Strong months: October ($6,739) and December ($5,700).</a:t>
          </a:r>
        </a:p>
        <a:p>
          <a:r>
            <a:rPr lang="en-US" b="0">
              <a:latin typeface="Arial" panose="020B0604020202020204" pitchFamily="34" charset="0"/>
              <a:cs typeface="Arial" panose="020B0604020202020204" pitchFamily="34" charset="0"/>
            </a:rPr>
            <a:t>Weak months: April ($680) and March ($846).</a:t>
          </a:r>
        </a:p>
        <a:p>
          <a:r>
            <a:rPr lang="en-US" b="0">
              <a:latin typeface="Arial" panose="020B0604020202020204" pitchFamily="34" charset="0"/>
              <a:cs typeface="Arial" panose="020B0604020202020204" pitchFamily="34" charset="0"/>
            </a:rPr>
            <a:t>Overall trend shows volatility with peaks in Q4.</a:t>
          </a:r>
        </a:p>
        <a:p>
          <a:r>
            <a:rPr lang="en-US" b="0">
              <a:latin typeface="Arial" panose="020B0604020202020204" pitchFamily="34" charset="0"/>
              <a:cs typeface="Arial" panose="020B0604020202020204" pitchFamily="34" charset="0"/>
            </a:rPr>
            <a:t>Top Customer: Company F alone accounts for the entire $37,428 revenue, indicating extreme customer concentration risk.</a:t>
          </a:r>
        </a:p>
        <a:p>
          <a:endParaRPr lang="en-US" b="0">
            <a:latin typeface="Arial" panose="020B0604020202020204" pitchFamily="34" charset="0"/>
            <a:cs typeface="Arial" panose="020B0604020202020204" pitchFamily="34" charset="0"/>
          </a:endParaRPr>
        </a:p>
        <a:p>
          <a:endParaRPr lang="en-US" b="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For Nancy</a:t>
          </a:r>
        </a:p>
        <a:p>
          <a:r>
            <a:rPr lang="en-US" b="0">
              <a:latin typeface="Arial" panose="020B0604020202020204" pitchFamily="34" charset="0"/>
              <a:cs typeface="Arial" panose="020B0604020202020204" pitchFamily="34" charset="0"/>
            </a:rPr>
            <a:t>Salesperson Performance</a:t>
          </a:r>
        </a:p>
        <a:p>
          <a:r>
            <a:rPr lang="en-US" b="0">
              <a:latin typeface="Arial" panose="020B0604020202020204" pitchFamily="34" charset="0"/>
              <a:cs typeface="Arial" panose="020B0604020202020204" pitchFamily="34" charset="0"/>
            </a:rPr>
            <a:t>Nancy Freehafer generated $104,252, which is significantly higher than the sales figures in your previous dashboards.</a:t>
          </a:r>
        </a:p>
        <a:p>
          <a:r>
            <a:rPr lang="en-US" b="0">
              <a:latin typeface="Arial" panose="020B0604020202020204" pitchFamily="34" charset="0"/>
              <a:cs typeface="Arial" panose="020B0604020202020204" pitchFamily="34" charset="0"/>
            </a:rPr>
            <a:t>This suggests either she is the primary driver of sales or the dataset is limited to her performance only.</a:t>
          </a:r>
        </a:p>
        <a:p>
          <a:r>
            <a:rPr lang="en-US" b="0">
              <a:latin typeface="Arial" panose="020B0604020202020204" pitchFamily="34" charset="0"/>
              <a:cs typeface="Arial" panose="020B0604020202020204" pitchFamily="34" charset="0"/>
            </a:rPr>
            <a:t>Regional Sales</a:t>
          </a:r>
        </a:p>
        <a:p>
          <a:r>
            <a:rPr lang="en-US" b="0">
              <a:latin typeface="Arial" panose="020B0604020202020204" pitchFamily="34" charset="0"/>
              <a:cs typeface="Arial" panose="020B0604020202020204" pitchFamily="34" charset="0"/>
            </a:rPr>
            <a:t>100% of sales are concentrated in the North region.</a:t>
          </a:r>
        </a:p>
        <a:p>
          <a:r>
            <a:rPr lang="en-US" b="0">
              <a:latin typeface="Arial" panose="020B0604020202020204" pitchFamily="34" charset="0"/>
              <a:cs typeface="Arial" panose="020B0604020202020204" pitchFamily="34" charset="0"/>
            </a:rPr>
            <a:t>This indicates strong penetration in one region but no diversification across other regions.</a:t>
          </a:r>
        </a:p>
        <a:p>
          <a:r>
            <a:rPr lang="en-US" b="0">
              <a:latin typeface="Arial" panose="020B0604020202020204" pitchFamily="34" charset="0"/>
              <a:cs typeface="Arial" panose="020B0604020202020204" pitchFamily="34" charset="0"/>
            </a:rPr>
            <a:t>Product Category Breakdown</a:t>
          </a:r>
        </a:p>
        <a:p>
          <a:r>
            <a:rPr lang="en-US" b="0">
              <a:latin typeface="Arial" panose="020B0604020202020204" pitchFamily="34" charset="0"/>
              <a:cs typeface="Arial" panose="020B0604020202020204" pitchFamily="34" charset="0"/>
            </a:rPr>
            <a:t>Beverages dominate with $47,596 (≈46% of total sales).</a:t>
          </a:r>
        </a:p>
        <a:p>
          <a:r>
            <a:rPr lang="en-US" b="0">
              <a:latin typeface="Arial" panose="020B0604020202020204" pitchFamily="34" charset="0"/>
              <a:cs typeface="Arial" panose="020B0604020202020204" pitchFamily="34" charset="0"/>
            </a:rPr>
            <a:t>Sauces ($22,920) and Dairy Products ($14,686) are secondary contributors.Canned Meat ($6,348) and Candy ($6,337) are minor categories.The portfolio shows heavy reliance on Beverages, with other categories playing supporting roles.</a:t>
          </a:r>
        </a:p>
        <a:p>
          <a:r>
            <a:rPr lang="en-US" b="0">
              <a:latin typeface="Arial" panose="020B0604020202020204" pitchFamily="34" charset="0"/>
              <a:cs typeface="Arial" panose="020B0604020202020204" pitchFamily="34" charset="0"/>
            </a:rPr>
            <a:t>State-Level Revenue</a:t>
          </a:r>
        </a:p>
        <a:p>
          <a:r>
            <a:rPr lang="en-US" b="0">
              <a:latin typeface="Arial" panose="020B0604020202020204" pitchFamily="34" charset="0"/>
              <a:cs typeface="Arial" panose="020B0604020202020204" pitchFamily="34" charset="0"/>
            </a:rPr>
            <a:t>Revenue ranges between $15,366 and $67,181 across highlighted states (CA, NV, UT, CO, WA, TX, FL, IL, NY).This suggests uneven penetration, with some states performing much stronger than others.</a:t>
          </a:r>
        </a:p>
        <a:p>
          <a:r>
            <a:rPr lang="en-US" b="0">
              <a:latin typeface="Arial" panose="020B0604020202020204" pitchFamily="34" charset="0"/>
              <a:cs typeface="Arial" panose="020B0604020202020204" pitchFamily="34" charset="0"/>
            </a:rPr>
            <a:t>Monthly Sales Trend</a:t>
          </a:r>
        </a:p>
        <a:p>
          <a:r>
            <a:rPr lang="en-US" b="0">
              <a:latin typeface="Arial" panose="020B0604020202020204" pitchFamily="34" charset="0"/>
              <a:cs typeface="Arial" panose="020B0604020202020204" pitchFamily="34" charset="0"/>
            </a:rPr>
            <a:t>Strong months: December ($16,174) and August ($14,686).</a:t>
          </a:r>
        </a:p>
        <a:p>
          <a:r>
            <a:rPr lang="en-US" b="0">
              <a:latin typeface="Arial" panose="020B0604020202020204" pitchFamily="34" charset="0"/>
              <a:cs typeface="Arial" panose="020B0604020202020204" pitchFamily="34" charset="0"/>
            </a:rPr>
            <a:t>Moderate months: April ($10,804), May ($10,730), February ($9,165), June ($9,375).</a:t>
          </a:r>
        </a:p>
        <a:p>
          <a:r>
            <a:rPr lang="en-US" b="0">
              <a:latin typeface="Arial" panose="020B0604020202020204" pitchFamily="34" charset="0"/>
              <a:cs typeface="Arial" panose="020B0604020202020204" pitchFamily="34" charset="0"/>
            </a:rPr>
            <a:t>Weak months: July ($5,976), September ($5,986).</a:t>
          </a:r>
        </a:p>
        <a:p>
          <a:r>
            <a:rPr lang="en-US" b="0">
              <a:latin typeface="Arial" panose="020B0604020202020204" pitchFamily="34" charset="0"/>
              <a:cs typeface="Arial" panose="020B0604020202020204" pitchFamily="34" charset="0"/>
            </a:rPr>
            <a:t>Overall, sales show seasonal peaks in Q2 and Q4, with dips mid-year.</a:t>
          </a:r>
        </a:p>
        <a:p>
          <a:r>
            <a:rPr lang="en-US" b="0">
              <a:latin typeface="Arial" panose="020B0604020202020204" pitchFamily="34" charset="0"/>
              <a:cs typeface="Arial" panose="020B0604020202020204" pitchFamily="34" charset="0"/>
            </a:rPr>
            <a:t>Top Customers</a:t>
          </a:r>
        </a:p>
        <a:p>
          <a:r>
            <a:rPr lang="en-US" b="0">
              <a:latin typeface="Arial" panose="020B0604020202020204" pitchFamily="34" charset="0"/>
              <a:cs typeface="Arial" panose="020B0604020202020204" pitchFamily="34" charset="0"/>
            </a:rPr>
            <a:t>Company H contributes $50,208 (≈48% of total revenue).</a:t>
          </a:r>
        </a:p>
        <a:p>
          <a:r>
            <a:rPr lang="en-US" b="0">
              <a:latin typeface="Arial" panose="020B0604020202020204" pitchFamily="34" charset="0"/>
              <a:cs typeface="Arial" panose="020B0604020202020204" pitchFamily="34" charset="0"/>
            </a:rPr>
            <a:t>Company G ($17,204) and Company A ($9,389) are secondary.</a:t>
          </a:r>
        </a:p>
        <a:p>
          <a:r>
            <a:rPr lang="en-US" b="0">
              <a:latin typeface="Arial" panose="020B0604020202020204" pitchFamily="34" charset="0"/>
              <a:cs typeface="Arial" panose="020B0604020202020204" pitchFamily="34" charset="0"/>
            </a:rPr>
            <a:t>Heavy reliance on a single customer (Company H) is evident.</a:t>
          </a:r>
        </a:p>
        <a:p>
          <a:r>
            <a:rPr lang="en-US" b="0">
              <a:latin typeface="Arial" panose="020B0604020202020204" pitchFamily="34" charset="0"/>
              <a:cs typeface="Arial" panose="020B0604020202020204" pitchFamily="34" charset="0"/>
            </a:rPr>
            <a:t>Customer Portfolio Balance</a:t>
          </a:r>
        </a:p>
        <a:p>
          <a:r>
            <a:rPr lang="en-US" b="0">
              <a:latin typeface="Arial" panose="020B0604020202020204" pitchFamily="34" charset="0"/>
              <a:cs typeface="Arial" panose="020B0604020202020204" pitchFamily="34" charset="0"/>
            </a:rPr>
            <a:t>Reduce reliance on Company H by acquiring new accounts.</a:t>
          </a:r>
        </a:p>
        <a:p>
          <a:r>
            <a:rPr lang="en-US" b="0">
              <a:latin typeface="Arial" panose="020B0604020202020204" pitchFamily="34" charset="0"/>
              <a:cs typeface="Arial" panose="020B0604020202020204" pitchFamily="34" charset="0"/>
            </a:rPr>
            <a:t>Strengthen relationships with mid-tier customers (Company G, Company A).</a:t>
          </a:r>
        </a:p>
        <a:p>
          <a:r>
            <a:rPr lang="en-US" b="0">
              <a:latin typeface="Arial" panose="020B0604020202020204" pitchFamily="34" charset="0"/>
              <a:cs typeface="Arial" panose="020B0604020202020204" pitchFamily="34" charset="0"/>
            </a:rPr>
            <a:t>Set a strategic target: no single customer should exceed 30% of total revenue.</a:t>
          </a:r>
        </a:p>
        <a:p>
          <a:endParaRPr lang="en-US" b="0">
            <a:latin typeface="Arial" panose="020B0604020202020204" pitchFamily="34" charset="0"/>
            <a:cs typeface="Arial" panose="020B0604020202020204" pitchFamily="34" charset="0"/>
          </a:endParaRPr>
        </a:p>
        <a:p>
          <a:pPr eaLnBrk="1" fontAlgn="auto" latinLnBrk="0" hangingPunct="1"/>
          <a:r>
            <a:rPr lang="en-US" sz="1200" b="1">
              <a:solidFill>
                <a:schemeClr val="lt1"/>
              </a:solidFill>
              <a:effectLst/>
              <a:latin typeface="Arial" panose="020B0604020202020204" pitchFamily="34" charset="0"/>
              <a:ea typeface="+mn-ea"/>
              <a:cs typeface="Arial" panose="020B0604020202020204" pitchFamily="34" charset="0"/>
            </a:rPr>
            <a:t>For Robert Zare</a:t>
          </a:r>
          <a:endParaRPr lang="en-US" sz="1200" b="1">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Salesperson Performance</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Robert Zare generated $32,531 in sales.This indicates either he is the sole salesperson represented or the dataset is limited to his performance. Compared to other dashboards you’ve shared, his figure is lower, suggesting either a smaller portfolio or weaker market penetration.</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Regional Sales</a:t>
          </a:r>
          <a:r>
            <a:rPr lang="en-US" sz="1100" b="0" baseline="0">
              <a:solidFill>
                <a:schemeClr val="lt1"/>
              </a:solidFill>
              <a:effectLst/>
              <a:latin typeface="Arial" panose="020B0604020202020204" pitchFamily="34" charset="0"/>
              <a:ea typeface="+mn-ea"/>
              <a:cs typeface="Arial" panose="020B0604020202020204" pitchFamily="34" charset="0"/>
            </a:rPr>
            <a:t> </a:t>
          </a:r>
          <a:r>
            <a:rPr lang="en-US" sz="1100" b="0">
              <a:solidFill>
                <a:schemeClr val="lt1"/>
              </a:solidFill>
              <a:effectLst/>
              <a:latin typeface="Arial" panose="020B0604020202020204" pitchFamily="34" charset="0"/>
              <a:ea typeface="+mn-ea"/>
              <a:cs typeface="Arial" panose="020B0604020202020204" pitchFamily="34" charset="0"/>
            </a:rPr>
            <a:t>100% of sales are concentrated in the West region.This shows strong focus in one geographic area but no diversification across other regions.</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Product Category Breakdown</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Dairy Products dominate with $18,444 (≈57% of total sales).</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Pasta contributes $11,057 (≈34%).</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Soups are minimal at $3,030 (≈9%).</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The portfolio is heavily skewed toward Dairy, with Pasta as a secondary driver and Soups underperforming.</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State-Level Revenue</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Revenue ranges between $15,366 and $67,181 across highlighted states.This suggests uneven penetration, with some states performing much stronger than others.</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Monthly Sales Trend</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Strong months: August ($4,543) and April ($4,322).</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Moderate months: January ($3,930), June ($3,998), September ($3,850).</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Weak months: February ($1,495), May ($2,401), July ($2,950).</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Overall, sales are volatile with no clear upward trajectory, showing inconsistency across the year.</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Top Customer</a:t>
          </a:r>
          <a:endParaRPr lang="en-US">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Company I accounts for the entire $32,531 revenue, meaning Robert’s portfolio is completely dependent on one customer.</a:t>
          </a:r>
          <a:endParaRPr lang="en-US">
            <a:effectLst/>
            <a:latin typeface="Arial" panose="020B0604020202020204" pitchFamily="34" charset="0"/>
            <a:cs typeface="Arial" panose="020B0604020202020204" pitchFamily="34" charset="0"/>
          </a:endParaRPr>
        </a:p>
        <a:p>
          <a:endParaRPr lang="en-US" b="0">
            <a:latin typeface="Arial" panose="020B0604020202020204" pitchFamily="34" charset="0"/>
            <a:cs typeface="Arial" panose="020B0604020202020204" pitchFamily="34" charset="0"/>
          </a:endParaRPr>
        </a:p>
        <a:p>
          <a:endParaRPr lang="en-US" b="0">
            <a:latin typeface="Arial" panose="020B0604020202020204" pitchFamily="34" charset="0"/>
            <a:cs typeface="Arial" panose="020B0604020202020204" pitchFamily="34" charset="0"/>
          </a:endParaRPr>
        </a:p>
        <a:p>
          <a:endParaRPr lang="en-US" b="0">
            <a:latin typeface="Arial" panose="020B0604020202020204" pitchFamily="34" charset="0"/>
            <a:cs typeface="Arial" panose="020B0604020202020204" pitchFamily="34" charset="0"/>
          </a:endParaRPr>
        </a:p>
        <a:p>
          <a:endParaRPr lang="en-US" b="0">
            <a:latin typeface="Arial" panose="020B0604020202020204" pitchFamily="34" charset="0"/>
            <a:cs typeface="Arial" panose="020B0604020202020204" pitchFamily="34" charset="0"/>
          </a:endParaRPr>
        </a:p>
        <a:p>
          <a:pPr algn="l"/>
          <a:endParaRPr lang="en-US" sz="1100"/>
        </a:p>
      </xdr:txBody>
    </xdr:sp>
    <xdr:clientData/>
  </xdr:twoCellAnchor>
  <xdr:twoCellAnchor>
    <xdr:from>
      <xdr:col>12</xdr:col>
      <xdr:colOff>275841</xdr:colOff>
      <xdr:row>1</xdr:row>
      <xdr:rowOff>27913</xdr:rowOff>
    </xdr:from>
    <xdr:to>
      <xdr:col>25</xdr:col>
      <xdr:colOff>508279</xdr:colOff>
      <xdr:row>267</xdr:row>
      <xdr:rowOff>167473</xdr:rowOff>
    </xdr:to>
    <xdr:sp macro="" textlink="">
      <xdr:nvSpPr>
        <xdr:cNvPr id="4" name="Rectangle: Rounded Corners 3">
          <a:extLst>
            <a:ext uri="{FF2B5EF4-FFF2-40B4-BE49-F238E27FC236}">
              <a16:creationId xmlns:a16="http://schemas.microsoft.com/office/drawing/2014/main" id="{4BFB8A1F-4F14-41A7-A657-76214944D2FB}"/>
            </a:ext>
          </a:extLst>
        </xdr:cNvPr>
        <xdr:cNvSpPr/>
      </xdr:nvSpPr>
      <xdr:spPr>
        <a:xfrm>
          <a:off x="7560896" y="209342"/>
          <a:ext cx="8124581" cy="48399560"/>
        </a:xfrm>
        <a:prstGeom prst="roundRect">
          <a:avLst>
            <a:gd name="adj" fmla="val 223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lt1"/>
              </a:solidFill>
              <a:effectLst/>
              <a:latin typeface="+mn-lt"/>
              <a:ea typeface="+mn-ea"/>
              <a:cs typeface="+mn-cs"/>
            </a:rPr>
            <a:t>                                                                    </a:t>
          </a:r>
          <a:r>
            <a:rPr lang="en-US" sz="1200" b="1">
              <a:solidFill>
                <a:schemeClr val="lt1"/>
              </a:solidFill>
              <a:effectLst/>
              <a:latin typeface="Arial" panose="020B0604020202020204" pitchFamily="34" charset="0"/>
              <a:ea typeface="+mn-ea"/>
              <a:cs typeface="Arial" panose="020B0604020202020204" pitchFamily="34" charset="0"/>
            </a:rPr>
            <a:t>POST ANALYSIS INSIGHT</a:t>
          </a:r>
        </a:p>
        <a:p>
          <a:pPr algn="l"/>
          <a:endParaRPr lang="en-US" sz="1100">
            <a:solidFill>
              <a:schemeClr val="lt1"/>
            </a:solidFill>
            <a:effectLst/>
            <a:latin typeface="+mn-lt"/>
            <a:ea typeface="+mn-ea"/>
            <a:cs typeface="+mn-cs"/>
          </a:endParaRPr>
        </a:p>
        <a:p>
          <a:r>
            <a:rPr lang="en-US" sz="1200" b="1">
              <a:solidFill>
                <a:schemeClr val="lt1"/>
              </a:solidFill>
              <a:effectLst/>
              <a:latin typeface="Arial" panose="020B0604020202020204" pitchFamily="34" charset="0"/>
              <a:ea typeface="+mn-ea"/>
              <a:cs typeface="Arial" panose="020B0604020202020204" pitchFamily="34" charset="0"/>
            </a:rPr>
            <a:t>F</a:t>
          </a:r>
          <a:r>
            <a:rPr lang="en-US" sz="1200" b="1" baseline="0">
              <a:solidFill>
                <a:schemeClr val="lt1"/>
              </a:solidFill>
              <a:effectLst/>
              <a:latin typeface="Arial" panose="020B0604020202020204" pitchFamily="34" charset="0"/>
              <a:ea typeface="+mn-ea"/>
              <a:cs typeface="Arial" panose="020B0604020202020204" pitchFamily="34" charset="0"/>
            </a:rPr>
            <a:t>or </a:t>
          </a:r>
          <a:r>
            <a:rPr lang="en-US" sz="1200" b="1">
              <a:solidFill>
                <a:schemeClr val="lt1"/>
              </a:solidFill>
              <a:effectLst/>
              <a:latin typeface="Arial" panose="020B0604020202020204" pitchFamily="34" charset="0"/>
              <a:ea typeface="+mn-ea"/>
              <a:cs typeface="Arial" panose="020B0604020202020204" pitchFamily="34" charset="0"/>
            </a:rPr>
            <a:t>Andrew Cercini</a:t>
          </a:r>
        </a:p>
        <a:p>
          <a:r>
            <a:rPr lang="en-US" sz="1100" b="0">
              <a:solidFill>
                <a:schemeClr val="lt1"/>
              </a:solidFill>
              <a:effectLst/>
              <a:latin typeface="Arial" panose="020B0604020202020204" pitchFamily="34" charset="0"/>
              <a:ea typeface="+mn-ea"/>
              <a:cs typeface="Arial" panose="020B0604020202020204" pitchFamily="34" charset="0"/>
            </a:rPr>
            <a:t>1) Revenue Concentration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Heavy dependence on one salesperson and one top customer creates operational and financial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Any disruption (resignation, client loss) could cause a major revenue decline.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2) Regional Growth Opportunity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With 100% of revenue coming from the East, there is untapped potential in other regions.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Expanding sales efforts into underperforming regions could significantly increase total revenue.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3) Product Portfolio Optimization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Jams &amp; Preserves is a clear revenue driver and should be prioritized for stock availability, promotions, and distribution.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Underperforming categories may require pricing reviews, product repositioning, promotions, or discontinuation.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4) Seasonal Sales Strategy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Sales peaks in May and December suggest seasonal demand patterns.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Targeted marketing campaigns and inventory planning should be aligned with these peak periods.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Low-performing months (e.g., February and April) present opportunities for discounts, bundles, and awareness campaigns to stabilize revenue.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5) Market Penetration Gaps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Strong performance in New York and weaker results in cities like Milwaukee indicate uneven market penetration.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City-specific sales strategies and localized promotions could help lift underperforming locations.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6) Customer Portfolio Diversification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The business is currently over-reliant on a single top customer.</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Actively growing mid-tier customers will reduce dependency risk and improve revenue stability.</a:t>
          </a:r>
        </a:p>
        <a:p>
          <a:endParaRPr lang="en-US" sz="1100" b="0">
            <a:solidFill>
              <a:schemeClr val="lt1"/>
            </a:solidFill>
            <a:effectLst/>
            <a:latin typeface="Arial" panose="020B0604020202020204" pitchFamily="34" charset="0"/>
            <a:ea typeface="+mn-ea"/>
            <a:cs typeface="Arial" panose="020B0604020202020204" pitchFamily="34" charset="0"/>
          </a:endParaRPr>
        </a:p>
        <a:p>
          <a:r>
            <a:rPr lang="en-US" sz="1200" b="1">
              <a:solidFill>
                <a:schemeClr val="lt1"/>
              </a:solidFill>
              <a:effectLst/>
              <a:latin typeface="Arial" panose="020B0604020202020204" pitchFamily="34" charset="0"/>
              <a:ea typeface="+mn-ea"/>
              <a:cs typeface="Arial" panose="020B0604020202020204" pitchFamily="34" charset="0"/>
            </a:rPr>
            <a:t>Actionable</a:t>
          </a:r>
          <a:r>
            <a:rPr lang="en-US" sz="1200" b="1" baseline="0">
              <a:solidFill>
                <a:schemeClr val="lt1"/>
              </a:solidFill>
              <a:effectLst/>
              <a:latin typeface="Arial" panose="020B0604020202020204" pitchFamily="34" charset="0"/>
              <a:ea typeface="+mn-ea"/>
              <a:cs typeface="Arial" panose="020B0604020202020204" pitchFamily="34" charset="0"/>
            </a:rPr>
            <a:t> Recommendation</a:t>
          </a:r>
          <a:endParaRPr lang="en-US" sz="1200" b="1">
            <a:latin typeface="Arial" panose="020B0604020202020204" pitchFamily="34" charset="0"/>
            <a:cs typeface="Arial" panose="020B0604020202020204" pitchFamily="34" charset="0"/>
          </a:endParaRPr>
        </a:p>
        <a:p>
          <a:r>
            <a:rPr lang="en-US" b="0">
              <a:latin typeface="Arial" panose="020B0604020202020204" pitchFamily="34" charset="0"/>
              <a:cs typeface="Arial" panose="020B0604020202020204" pitchFamily="34" charset="0"/>
            </a:rPr>
            <a:t>Train and activate other sales reps with clear monthly targets.</a:t>
          </a:r>
        </a:p>
        <a:p>
          <a:r>
            <a:rPr lang="en-US" b="0">
              <a:latin typeface="Arial" panose="020B0604020202020204" pitchFamily="34" charset="0"/>
              <a:cs typeface="Arial" panose="020B0604020202020204" pitchFamily="34" charset="0"/>
            </a:rPr>
            <a:t>Set a goal that no single salesperson or customer contributes more than 40–50% of total revenue.</a:t>
          </a:r>
        </a:p>
        <a:p>
          <a:r>
            <a:rPr lang="en-US" b="0">
              <a:latin typeface="Arial" panose="020B0604020202020204" pitchFamily="34" charset="0"/>
              <a:cs typeface="Arial" panose="020B0604020202020204" pitchFamily="34" charset="0"/>
            </a:rPr>
            <a:t>Launch pilot sales campaigns in underperforming regions (e.g., West and Central).</a:t>
          </a:r>
        </a:p>
        <a:p>
          <a:r>
            <a:rPr lang="en-US" b="0">
              <a:latin typeface="Arial" panose="020B0604020202020204" pitchFamily="34" charset="0"/>
              <a:cs typeface="Arial" panose="020B0604020202020204" pitchFamily="34" charset="0"/>
            </a:rPr>
            <a:t>Assign regional sales targets and track performance monthly.</a:t>
          </a:r>
        </a:p>
        <a:p>
          <a:r>
            <a:rPr lang="en-US" b="0">
              <a:latin typeface="Arial" panose="020B0604020202020204" pitchFamily="34" charset="0"/>
              <a:cs typeface="Arial" panose="020B0604020202020204" pitchFamily="34" charset="0"/>
            </a:rPr>
            <a:t>Test short-term promotions (discounts, bundles).</a:t>
          </a:r>
        </a:p>
        <a:p>
          <a:r>
            <a:rPr lang="en-US" b="0">
              <a:latin typeface="Arial" panose="020B0604020202020204" pitchFamily="34" charset="0"/>
              <a:cs typeface="Arial" panose="020B0604020202020204" pitchFamily="34" charset="0"/>
            </a:rPr>
            <a:t>Review pricing, packaging, and visibility.</a:t>
          </a:r>
        </a:p>
        <a:p>
          <a:r>
            <a:rPr lang="en-US" b="0">
              <a:latin typeface="Arial" panose="020B0604020202020204" pitchFamily="34" charset="0"/>
              <a:cs typeface="Arial" panose="020B0604020202020204" pitchFamily="34" charset="0"/>
            </a:rPr>
            <a:t>Consider phasing out consistently low-performing SKUs if no improvement is seen.</a:t>
          </a:r>
        </a:p>
        <a:p>
          <a:r>
            <a:rPr lang="en-US" b="0">
              <a:latin typeface="Arial" panose="020B0604020202020204" pitchFamily="34" charset="0"/>
              <a:cs typeface="Arial" panose="020B0604020202020204" pitchFamily="34" charset="0"/>
            </a:rPr>
            <a:t>Introduce promotional campaigns during low-demand months.</a:t>
          </a:r>
        </a:p>
        <a:p>
          <a:r>
            <a:rPr lang="en-US" b="0">
              <a:latin typeface="Arial" panose="020B0604020202020204" pitchFamily="34" charset="0"/>
              <a:cs typeface="Arial" panose="020B0604020202020204" pitchFamily="34" charset="0"/>
            </a:rPr>
            <a:t>Align marketing and stock planning to peak months to avoid stockouts.</a:t>
          </a:r>
        </a:p>
        <a:p>
          <a:r>
            <a:rPr lang="en-US" b="0">
              <a:latin typeface="Arial" panose="020B0604020202020204" pitchFamily="34" charset="0"/>
              <a:cs typeface="Arial" panose="020B0604020202020204" pitchFamily="34" charset="0"/>
            </a:rPr>
            <a:t>Identify top 5–10 mid-performing customers and assign account growth plans.</a:t>
          </a:r>
        </a:p>
        <a:p>
          <a:r>
            <a:rPr lang="en-US" b="0">
              <a:latin typeface="Arial" panose="020B0604020202020204" pitchFamily="34" charset="0"/>
              <a:cs typeface="Arial" panose="020B0604020202020204" pitchFamily="34" charset="0"/>
            </a:rPr>
            <a:t>Offer loyalty incentives or volume discounts to increase their order size.</a:t>
          </a:r>
        </a:p>
        <a:p>
          <a:r>
            <a:rPr lang="en-US" b="0">
              <a:latin typeface="Arial" panose="020B0604020202020204" pitchFamily="34" charset="0"/>
              <a:cs typeface="Arial" panose="020B0604020202020204" pitchFamily="34" charset="0"/>
            </a:rPr>
            <a:t>Run localized promotions in low-performing cities.</a:t>
          </a:r>
        </a:p>
        <a:p>
          <a:r>
            <a:rPr lang="en-US" b="0">
              <a:latin typeface="Arial" panose="020B0604020202020204" pitchFamily="34" charset="0"/>
              <a:cs typeface="Arial" panose="020B0604020202020204" pitchFamily="34" charset="0"/>
            </a:rPr>
            <a:t>Review delivery timelines and service quality in those locations.</a:t>
          </a:r>
          <a:br>
            <a:rPr lang="en-US"/>
          </a:br>
          <a:endParaRPr lang="en-US">
            <a:effectLst/>
          </a:endParaRPr>
        </a:p>
        <a:p>
          <a:r>
            <a:rPr lang="en-US" sz="1200" b="1">
              <a:effectLst/>
              <a:latin typeface="Arial" panose="020B0604020202020204" pitchFamily="34" charset="0"/>
              <a:cs typeface="Arial" panose="020B0604020202020204" pitchFamily="34" charset="0"/>
            </a:rPr>
            <a:t>For  </a:t>
          </a:r>
          <a:r>
            <a:rPr lang="en-US" sz="1200" b="1">
              <a:solidFill>
                <a:schemeClr val="lt1"/>
              </a:solidFill>
              <a:effectLst/>
              <a:latin typeface="Arial" panose="020B0604020202020204" pitchFamily="34" charset="0"/>
              <a:ea typeface="+mn-ea"/>
              <a:cs typeface="Arial" panose="020B0604020202020204" pitchFamily="34" charset="0"/>
            </a:rPr>
            <a:t>Anne Larsen</a:t>
          </a:r>
          <a:endParaRPr lang="en-US" sz="1200" b="1">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1) High Operational Risk from Revenue Concentration</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The business is highly dependent on a single salesperson, a single region (South), and one major customer (Company BB). Any disruption in these areas could lead to a sharp revenue decline.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2) Untapped Regional Growth Potential</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With 100% of revenue coming from the South, other regions remain completely untapped or inactive, representing a major growth opportunity if properly activated.</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3) Clear Product Revenue Drivers vs. Weak Categories</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Beverages, Canned Meat, and Sauces are proven revenue drivers and should form the core commercial focus, while Oil and Soups may need repositioning, stronger promotion, or portfolio review.</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4) Seasonal Demand Pattern</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Stronger performance towards year-end indicates seasonal buying behavior. Without intervention, mid-year revenue dips may continue to weaken annual performance stability.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5) Customer Portfolio Imbalance</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Heavy reliance on Company BB increases customer concentration risk. A loss or reduction in this account would significantly impact total revenue.</a:t>
          </a:r>
        </a:p>
        <a:p>
          <a:endParaRPr lang="en-US" b="0">
            <a:effectLst/>
            <a:latin typeface="Arial" panose="020B0604020202020204" pitchFamily="34" charset="0"/>
            <a:cs typeface="Arial" panose="020B0604020202020204" pitchFamily="34" charset="0"/>
          </a:endParaRPr>
        </a:p>
        <a:p>
          <a:r>
            <a:rPr lang="en-US" sz="1200" b="1">
              <a:solidFill>
                <a:schemeClr val="lt1"/>
              </a:solidFill>
              <a:effectLst/>
              <a:latin typeface="Arial" panose="020B0604020202020204" pitchFamily="34" charset="0"/>
              <a:ea typeface="+mn-ea"/>
              <a:cs typeface="Arial" panose="020B0604020202020204" pitchFamily="34" charset="0"/>
            </a:rPr>
            <a:t>Actionable Recommendations </a:t>
          </a:r>
          <a:endParaRPr lang="en-US" sz="1200" b="1">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1) Diversify Sales Capacity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Onboard and activate additional sales reps with defined monthly targets.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Introduce performance incentives to reduce reliance on one salesperson.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2) Expand into Non-Performing Regions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Launch pilot sales campaigns in underperforming regions.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Assign regional growth targets and track adoption monthly.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3) Double Down on High-Performing Products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Prioritize inventory, visibility, and promotions for Beverages, Canned Meat, and Sauces.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Bundle best-sellers with weaker products to lift low-performing categories.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4) Fix Underperforming Categories (Oil &amp; Soups)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Test price promotions, bundle offers, and improved shelf positioning.</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Review product-market fit; consider SKU rationalization if performance remains weak.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5) Plan Around Seasonality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Increase marketing spend and stock readiness ahead of Q4 peaks.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Run targeted promotions during mid-year dips to stabilize monthly revenue.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6) Grow Mid-Tier Customers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Develop growth plans for Company Z and Company K (e.g., volume discounts, loyalty incentives).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Set targets to increase revenue contribution from mid-tier customers by 20–30%.</a:t>
          </a:r>
          <a:br>
            <a:rPr lang="en-US" sz="1100">
              <a:solidFill>
                <a:schemeClr val="lt1"/>
              </a:solidFill>
              <a:effectLst/>
              <a:latin typeface="Arial" panose="020B0604020202020204" pitchFamily="34" charset="0"/>
              <a:ea typeface="+mn-ea"/>
              <a:cs typeface="Arial" panose="020B0604020202020204" pitchFamily="34" charset="0"/>
            </a:rPr>
          </a:br>
          <a:endParaRPr lang="en-US" sz="1100">
            <a:solidFill>
              <a:schemeClr val="lt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Arial" panose="020B0604020202020204" pitchFamily="34" charset="0"/>
              <a:ea typeface="+mn-ea"/>
              <a:cs typeface="Arial" panose="020B0604020202020204" pitchFamily="34" charset="0"/>
            </a:rPr>
            <a:t>For</a:t>
          </a:r>
          <a:r>
            <a:rPr lang="en-US" sz="1200" b="1" baseline="0">
              <a:solidFill>
                <a:schemeClr val="lt1"/>
              </a:solidFill>
              <a:effectLst/>
              <a:latin typeface="Arial" panose="020B0604020202020204" pitchFamily="34" charset="0"/>
              <a:ea typeface="+mn-ea"/>
              <a:cs typeface="Arial" panose="020B0604020202020204" pitchFamily="34" charset="0"/>
            </a:rPr>
            <a:t> </a:t>
          </a:r>
          <a:r>
            <a:rPr lang="en-US" sz="1200" b="1">
              <a:solidFill>
                <a:schemeClr val="lt1"/>
              </a:solidFill>
              <a:effectLst/>
              <a:latin typeface="Arial" panose="020B0604020202020204" pitchFamily="34" charset="0"/>
              <a:ea typeface="+mn-ea"/>
              <a:cs typeface="Arial" panose="020B0604020202020204" pitchFamily="34" charset="0"/>
            </a:rPr>
            <a:t>Jan Kotas</a:t>
          </a:r>
          <a:r>
            <a:rPr lang="en-US" sz="1100">
              <a:solidFill>
                <a:schemeClr val="lt1"/>
              </a:solidFill>
              <a:effectLst/>
              <a:latin typeface="+mn-lt"/>
              <a:ea typeface="+mn-ea"/>
              <a:cs typeface="+mn-cs"/>
            </a:rPr>
            <a:t>.</a:t>
          </a:r>
        </a:p>
        <a:p>
          <a:r>
            <a:rPr lang="en-US" sz="1100" b="0">
              <a:solidFill>
                <a:schemeClr val="lt1"/>
              </a:solidFill>
              <a:effectLst/>
              <a:latin typeface="Arial" panose="020B0604020202020204" pitchFamily="34" charset="0"/>
              <a:ea typeface="+mn-ea"/>
              <a:cs typeface="Arial" panose="020B0604020202020204" pitchFamily="34" charset="0"/>
            </a:rPr>
            <a:t>1) High Concentration Risk Across Key Dimensions</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Revenue is concentrated across one salesperson, one region, and one customer, creating a high business continuity risk if any of these fail.</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2) Untapped Market Potential Outside the West</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With 100% of revenue coming from the West, other regions represent completely untapped growth opportunities.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3) Product Portfolio Imbalance</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Strong performance in Beverages and Fruit &amp; Veg indicates solid product-market fit, while Candy underperformance suggests low demand, poor visibility, or pricing/positioning challenges.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4) Seasonal and Inconsistent Demand Pattern</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Sales spikes in May and December suggest seasonality or campaign-driven performance, while prolonged low performance mid-year reflects weak demand stimulation or insufficient sales activity.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5) Weak Customer Diversification</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Dependence on a single customer limits revenue stability and bargaining power, increasing vulnerability to churn or contract loss.</a:t>
          </a:r>
          <a:endParaRPr lang="en-US" b="0">
            <a:effectLst/>
            <a:latin typeface="Arial" panose="020B0604020202020204" pitchFamily="34" charset="0"/>
            <a:cs typeface="Arial" panose="020B0604020202020204" pitchFamily="34" charset="0"/>
          </a:endParaRPr>
        </a:p>
        <a:p>
          <a:r>
            <a:rPr lang="en-US" sz="1200" b="1">
              <a:solidFill>
                <a:schemeClr val="lt1"/>
              </a:solidFill>
              <a:effectLst/>
              <a:latin typeface="Arial" panose="020B0604020202020204" pitchFamily="34" charset="0"/>
              <a:ea typeface="+mn-ea"/>
              <a:cs typeface="Arial" panose="020B0604020202020204" pitchFamily="34" charset="0"/>
            </a:rPr>
            <a:t>Actionable Recommendations </a:t>
          </a:r>
          <a:endParaRPr lang="en-US" sz="1200" b="1">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1) Diversify Sales Coverage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Activate additional sales reps with defined monthly revenue targets.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Introduce sales incentives and performance tracking.</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2) Expand Beyond the West Region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Launch targeted pilot sales initiatives in non-performing regions.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Assign regional KPIs and track conversion monthly.</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3) Scale High-Performing Categories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Increase inventory availability and promotional focus for Beverages and Fruit &amp; Veg.</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Feature these products in bundles and priority listings.</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Impact: Maximizes returns from proven revenue drivers.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4) Revamp Underperforming Category (Candy)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Test short-term discounts, product bundling, and visibility improvements.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Review pricing and customer feedback to refine product positioning.</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5) Plan Around Seasonal Peaks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Increase stock and marketing ahead of May and December peaks.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Introduce mid-year promotions (June–September) to stabilize monthly revenue.</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Impact: Reduces revenue volatility and improves demand consistency.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6) Broaden the Customer Base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Identify and target at least 5 new mid-sized customers per quarter.</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Offer onboarding incentives or volume discounts to encourage trial and repeat orders.</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Impact: Improves revenue stability and reduces single-customer dependency.</a:t>
          </a:r>
          <a:endParaRPr lang="en-US" b="0">
            <a:effectLst/>
            <a:latin typeface="Arial" panose="020B0604020202020204" pitchFamily="34" charset="0"/>
            <a:cs typeface="Arial" panose="020B0604020202020204" pitchFamily="34" charset="0"/>
          </a:endParaRPr>
        </a:p>
        <a:p>
          <a:endParaRPr lang="en-US" sz="1100" b="0">
            <a:solidFill>
              <a:schemeClr val="lt1"/>
            </a:solidFill>
            <a:effectLst/>
            <a:latin typeface="+mn-lt"/>
            <a:ea typeface="+mn-ea"/>
            <a:cs typeface="+mn-cs"/>
          </a:endParaRPr>
        </a:p>
        <a:p>
          <a:r>
            <a:rPr lang="en-US" sz="1200" b="1">
              <a:solidFill>
                <a:schemeClr val="lt1"/>
              </a:solidFill>
              <a:effectLst/>
              <a:latin typeface="Arial" panose="020B0604020202020204" pitchFamily="34" charset="0"/>
              <a:ea typeface="+mn-ea"/>
              <a:cs typeface="Arial" panose="020B0604020202020204" pitchFamily="34" charset="0"/>
            </a:rPr>
            <a:t>For  Laura Giussani </a:t>
          </a:r>
        </a:p>
        <a:p>
          <a:r>
            <a:rPr lang="en-US" sz="1100" b="0">
              <a:solidFill>
                <a:schemeClr val="lt1"/>
              </a:solidFill>
              <a:effectLst/>
              <a:latin typeface="Arial" panose="020B0604020202020204" pitchFamily="34" charset="0"/>
              <a:ea typeface="+mn-ea"/>
              <a:cs typeface="Arial" panose="020B0604020202020204" pitchFamily="34" charset="0"/>
            </a:rPr>
            <a:t>1) High Revenue Concentration Risk</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The business is highly dependent on one salesperson, one region (East), and one major customer (Company J). This creates a single-point-of-failure risk for revenue continuity.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2) Untapped Growth Outside the East</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With all revenue coming from the East, other regions remain unexplored or inactive, representing a major growth opportunity if activated.</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3) Clear Product Winners and Losers</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Condiments, Baked Goods &amp; Mixes, and Jams &amp; Preserves are proven revenue drivers.</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Beverages is severely underperforming, indicating low demand, poor visibility, or misaligned pricing/positioning.</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4) Seasonal Demand Pattern</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Sales peaks in June and December suggest seasonal buying behavior or campaign-driven demand. Without targeted interventions, weaker months will continue to drag overall performance.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5) Customer Portfolio Imbalance</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Over-reliance on Company J limits revenue stability and increases exposure to churn or contract renegotiation risk.</a:t>
          </a:r>
          <a:endParaRPr lang="en-US" b="0">
            <a:effectLst/>
            <a:latin typeface="Arial" panose="020B0604020202020204" pitchFamily="34" charset="0"/>
            <a:cs typeface="Arial" panose="020B0604020202020204" pitchFamily="34" charset="0"/>
          </a:endParaRPr>
        </a:p>
        <a:p>
          <a:r>
            <a:rPr lang="en-US" sz="1200" b="1">
              <a:solidFill>
                <a:schemeClr val="lt1"/>
              </a:solidFill>
              <a:effectLst/>
              <a:latin typeface="Arial" panose="020B0604020202020204" pitchFamily="34" charset="0"/>
              <a:ea typeface="+mn-ea"/>
              <a:cs typeface="Arial" panose="020B0604020202020204" pitchFamily="34" charset="0"/>
            </a:rPr>
            <a:t>Actionable Recommendations</a:t>
          </a:r>
          <a:endParaRPr lang="en-US" sz="1200" b="1">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1) Diversify Sales Coverage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Activate and onboard additional sales reps with clear monthly revenue targets.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Introduce performance incentives and basic pipeline tracking.</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2) Expand Regional Footprint</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Launch pilot sales initiatives in underperforming regions outside the East.</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Assign region-specific targets and monitor adoption monthly.</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3) Scale High-Performing Categories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Prioritize stock, visibility, and promotions for Condiments, Baked Goods &amp; Mixes, and Jams &amp; Preserves.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Bundle top sellers with weaker categories to improve cross-selling.</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4) Fix or Reposition Beverages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Test pricing adjustments, discounts, and improved shelf visibility.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Collect quick customer feedback to understand low adoption.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Consider SKU rationalization if performance remains weak.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5) Plan Around Seasonality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Increase stock and marketing push ahead of peak months (June &amp; December).</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Run mid-year promotions to stimulate demand during low months.</a:t>
          </a:r>
          <a:br>
            <a:rPr lang="en-US" sz="1100" b="0">
              <a:solidFill>
                <a:schemeClr val="lt1"/>
              </a:solidFill>
              <a:effectLst/>
              <a:latin typeface="Arial" panose="020B0604020202020204" pitchFamily="34" charset="0"/>
              <a:ea typeface="+mn-ea"/>
              <a:cs typeface="Arial" panose="020B0604020202020204" pitchFamily="34" charset="0"/>
            </a:rPr>
          </a:br>
          <a:r>
            <a:rPr lang="en-US" sz="1100" b="0">
              <a:solidFill>
                <a:schemeClr val="lt1"/>
              </a:solidFill>
              <a:effectLst/>
              <a:latin typeface="Arial" panose="020B0604020202020204" pitchFamily="34" charset="0"/>
              <a:ea typeface="+mn-ea"/>
              <a:cs typeface="Arial" panose="020B0604020202020204" pitchFamily="34" charset="0"/>
            </a:rPr>
            <a:t>6) Reduce Customer Concentration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Develop targeted growth plans for secondary customers like Company 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Set a target to grow non-top customers’ revenue contribution by 20–30%.</a:t>
          </a:r>
        </a:p>
        <a:p>
          <a:endParaRPr lang="en-US" sz="1100">
            <a:solidFill>
              <a:schemeClr val="lt1"/>
            </a:solidFill>
            <a:effectLst/>
            <a:latin typeface="+mn-lt"/>
            <a:ea typeface="+mn-ea"/>
            <a:cs typeface="+mn-cs"/>
          </a:endParaRPr>
        </a:p>
        <a:p>
          <a:r>
            <a:rPr lang="en-US" sz="1200" b="1">
              <a:solidFill>
                <a:schemeClr val="lt1"/>
              </a:solidFill>
              <a:effectLst/>
              <a:latin typeface="Arial" panose="020B0604020202020204" pitchFamily="34" charset="0"/>
              <a:ea typeface="+mn-ea"/>
              <a:cs typeface="Arial" panose="020B0604020202020204" pitchFamily="34" charset="0"/>
            </a:rPr>
            <a:t>For Mariya Sergienko  </a:t>
          </a:r>
        </a:p>
        <a:p>
          <a:r>
            <a:rPr lang="en-US" sz="1100" b="0">
              <a:solidFill>
                <a:schemeClr val="lt1"/>
              </a:solidFill>
              <a:effectLst/>
              <a:latin typeface="Arial" panose="020B0604020202020204" pitchFamily="34" charset="0"/>
              <a:ea typeface="+mn-ea"/>
              <a:cs typeface="Arial" panose="020B0604020202020204" pitchFamily="34" charset="0"/>
            </a:rPr>
            <a:t>Dependence on One Salesperson: Heavy reliance on Mariya suggests vulnerability if she leaves or underperforms.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Regional Concentration Risk: Sales limited to the West region expose the business to geographic risk and missed opportunities elsewhere.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Product Portfolio Imbalance: Sauces and Beverages drive most revenue, but other categories underperform, limiting diversification.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Seasonality &amp; Volatility: December peak suggests holiday-driven sales, while June and November dips highlight potential operational or demand issues.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Customer Concentration Risk: Company C alone accounts for a large share of revenue, creating dependency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Urban Market Strength: Major cities dominate sales, but smaller or mid-tier cities may be untapped opportunities.</a:t>
          </a:r>
        </a:p>
        <a:p>
          <a:endParaRPr lang="en-US" b="0">
            <a:effectLst/>
            <a:latin typeface="Arial" panose="020B0604020202020204" pitchFamily="34" charset="0"/>
            <a:cs typeface="Arial" panose="020B0604020202020204" pitchFamily="34" charset="0"/>
          </a:endParaRPr>
        </a:p>
        <a:p>
          <a:r>
            <a:rPr lang="en-US" sz="1200" b="1">
              <a:solidFill>
                <a:schemeClr val="lt1"/>
              </a:solidFill>
              <a:effectLst/>
              <a:latin typeface="Arial" panose="020B0604020202020204" pitchFamily="34" charset="0"/>
              <a:ea typeface="+mn-ea"/>
              <a:cs typeface="Arial" panose="020B0604020202020204" pitchFamily="34" charset="0"/>
            </a:rPr>
            <a:t>Actionable Recommendations</a:t>
          </a:r>
          <a:endParaRPr lang="en-US" sz="1200" b="1">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Salesforce Expansion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Recruit or train additional salespeople to reduce reliance on Mariya.</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Implement performance tracking across the team for balanced accountability.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Regional Diversification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Explore East, Midwest, and Southern markets to spread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Conduct targeted campaigns in underrepresented regions.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Product Strategy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Invest in marketing and promotions for weaker categories (Condiments, Soups, Dried Fruit &amp; Nuts).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Consider bundling low-performing products with high-demand items.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Seasonality Management</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Investigate causes of June and November dips (supply chain, demand cycles).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Introduce promotions or campaigns during historically weak months to stabilize revenue.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Customer Portfolio Balance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Reduce dependency on Company C by nurturing mid-tier customers (e.g., Company L).</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Develop loyalty programs or tiered incentives to grow smaller accounts.</a:t>
          </a:r>
        </a:p>
        <a:p>
          <a:endParaRPr lang="en-US" sz="1100" b="0">
            <a:solidFill>
              <a:schemeClr val="lt1"/>
            </a:solidFill>
            <a:effectLst/>
            <a:latin typeface="+mn-lt"/>
            <a:ea typeface="+mn-ea"/>
            <a:cs typeface="+mn-cs"/>
          </a:endParaRPr>
        </a:p>
        <a:p>
          <a:r>
            <a:rPr lang="en-US" sz="1200" b="1">
              <a:solidFill>
                <a:schemeClr val="lt1"/>
              </a:solidFill>
              <a:effectLst/>
              <a:latin typeface="Arial" panose="020B0604020202020204" pitchFamily="34" charset="0"/>
              <a:ea typeface="+mn-ea"/>
              <a:cs typeface="Arial" panose="020B0604020202020204" pitchFamily="34" charset="0"/>
            </a:rPr>
            <a:t>For Michael Neipper </a:t>
          </a:r>
        </a:p>
        <a:p>
          <a:r>
            <a:rPr lang="en-US" sz="1100" b="0">
              <a:solidFill>
                <a:schemeClr val="lt1"/>
              </a:solidFill>
              <a:effectLst/>
              <a:latin typeface="Arial" panose="020B0604020202020204" pitchFamily="34" charset="0"/>
              <a:ea typeface="+mn-ea"/>
              <a:cs typeface="Arial" panose="020B0604020202020204" pitchFamily="34" charset="0"/>
            </a:rPr>
            <a:t>Single Salesperson Dependency: Heavy reliance on Michael Neipper creates operational risk if performance drops or if he leaves.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Regional Limitation: Sales confined to the North region suggest untapped potential in other regions.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Balanced Product Mix: Unlike the previous dashboard, product categories are more evenly distributed, reducing product dependency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Seasonality &amp; Volatility: Q4 (October–December) is strong, likely due to holiday demand, while Q2 (March–April) is weak, suggesting seasonal fluctuations.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Extreme Customer Concentration: Company F is the sole revenue driver, which is highly risky. Losing this customer would collapse sales.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Urban Market Reliance: Strong presence in major cities, but smaller cities and rural markets remain unexplored.</a:t>
          </a:r>
        </a:p>
        <a:p>
          <a:endParaRPr lang="en-US" b="0">
            <a:effectLst/>
            <a:latin typeface="Arial" panose="020B0604020202020204" pitchFamily="34" charset="0"/>
            <a:cs typeface="Arial" panose="020B0604020202020204" pitchFamily="34" charset="0"/>
          </a:endParaRPr>
        </a:p>
        <a:p>
          <a:r>
            <a:rPr lang="en-US" sz="1200" b="1">
              <a:solidFill>
                <a:schemeClr val="lt1"/>
              </a:solidFill>
              <a:effectLst/>
              <a:latin typeface="Arial" panose="020B0604020202020204" pitchFamily="34" charset="0"/>
              <a:ea typeface="+mn-ea"/>
              <a:cs typeface="Arial" panose="020B0604020202020204" pitchFamily="34" charset="0"/>
            </a:rPr>
            <a:t>Actionable Recommendations</a:t>
          </a:r>
          <a:endParaRPr lang="en-US" sz="1200" b="1">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Salesforce Development</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Expand the sales team beyond Michael Neipper to reduce dependency.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Introduce performance incentives to encourage broader participation.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Regional Expansion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Target East, West, and Southern regions with tailored campaigns.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Conduct market research to identify high-potential states outside the North.</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Customer Diversification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Reduce reliance on Company F by acquiring new accounts.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Develop tiered loyalty programs to grow mid-tier customers.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Set a strategic goal: no single customer should exceed 30% of total revenue.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Product Growth Strategy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Maintain balance across Beverages, Sauces, Candy, and Dried Fruit &amp; Nuts.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Explore bundling strategies to cross-sell products.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Introduce seasonal promotions to boost weaker months.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Seasonality Management</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Investigate reasons for Q2 dips (March–April).</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Launch targeted campaigns or discounts during low-demand months.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Align inventory planning with seasonal peaks to maximize Q4 gains.</a:t>
          </a:r>
        </a:p>
        <a:p>
          <a:endParaRPr lang="en-US" sz="1100">
            <a:solidFill>
              <a:schemeClr val="lt1"/>
            </a:solidFill>
            <a:effectLst/>
            <a:latin typeface="Arial" panose="020B0604020202020204" pitchFamily="34" charset="0"/>
            <a:ea typeface="+mn-ea"/>
            <a:cs typeface="Arial" panose="020B0604020202020204" pitchFamily="34" charset="0"/>
          </a:endParaRPr>
        </a:p>
        <a:p>
          <a:r>
            <a:rPr lang="en-US" sz="1200" b="1">
              <a:solidFill>
                <a:schemeClr val="lt1"/>
              </a:solidFill>
              <a:effectLst/>
              <a:latin typeface="Arial" panose="020B0604020202020204" pitchFamily="34" charset="0"/>
              <a:ea typeface="+mn-ea"/>
              <a:cs typeface="Arial" panose="020B0604020202020204" pitchFamily="34" charset="0"/>
            </a:rPr>
            <a:t>For Nancy</a:t>
          </a:r>
        </a:p>
        <a:p>
          <a:r>
            <a:rPr lang="en-US" sz="1100" b="0">
              <a:solidFill>
                <a:schemeClr val="lt1"/>
              </a:solidFill>
              <a:effectLst/>
              <a:latin typeface="Arial" panose="020B0604020202020204" pitchFamily="34" charset="0"/>
              <a:ea typeface="+mn-ea"/>
              <a:cs typeface="Arial" panose="020B0604020202020204" pitchFamily="34" charset="0"/>
            </a:rPr>
            <a:t>Salesperson Dependency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Nancy Freehafer is the sole driver of sales, which creates operational risk. If she underperforms or leaves, revenue could collapse.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Regional Limitation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Sales are confined to the North region, missing opportunities in East, West, and Southern markets. This is a geographic concentration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Product Portfolio Imbalance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Beverages are the backbone of sales, but this creates vulnerability if demand shifts.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Other categories (Candy, Canned Meat) are underperforming, suggesting either weak demand or lack of promotion.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Seasonality &amp; Volatility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Peaks in August and December suggest holiday or seasonal demand cycles.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Mid-year dips (July, September) highlight periods of weak demand, possibly due to market seasonality or operational inefficiencies.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Customer Concentration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Company H alone accounts for nearly half of revenue. Losing this client would severely impact performance.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The customer base is too narrow, with limited diversification.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Urban Market Reliance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Strong presence in major cities is positive, but reliance on urban hubs means rural and mid-tier cities remain untapped.</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This limits overall market reach.</a:t>
          </a:r>
        </a:p>
        <a:p>
          <a:endParaRPr lang="en-US" b="0">
            <a:effectLst/>
            <a:latin typeface="Arial" panose="020B0604020202020204" pitchFamily="34" charset="0"/>
            <a:cs typeface="Arial" panose="020B0604020202020204" pitchFamily="34" charset="0"/>
          </a:endParaRPr>
        </a:p>
        <a:p>
          <a:r>
            <a:rPr lang="en-US" sz="1200" b="1">
              <a:solidFill>
                <a:schemeClr val="lt1"/>
              </a:solidFill>
              <a:effectLst/>
              <a:latin typeface="Arial" panose="020B0604020202020204" pitchFamily="34" charset="0"/>
              <a:ea typeface="+mn-ea"/>
              <a:cs typeface="Arial" panose="020B0604020202020204" pitchFamily="34" charset="0"/>
            </a:rPr>
            <a:t>Actionable Recommendations</a:t>
          </a:r>
          <a:endParaRPr lang="en-US" sz="1200" b="1">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Salesforce Expansion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Recruit and train additional salespeople to reduce dependency on Nancy.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Implement performance tracking and incentives to encourage balanced contributions across the team.</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Regional Diversification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Expand into East, West, and Southern regions through targeted campaigns.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Use market research to identify high-potential states beyond the North.</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Product Strategy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Continue leveraging Beverages as the flagship product but invest in marketing for Sauces and Dairy Products to balance the portfolio.</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Revitalize weaker categories (Candy, Canned Meat) through bundling, seasonal promotions, or repositioning.</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Seasonality Management</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Investigate causes of mid-year dips (July, September).</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Introduce promotions, discounts, or product launches during weak months to stabilize revenue.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Align inventory planning with seasonal peaks (August, December) to maximize profitability.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Customer Portfolio Balance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Reduce reliance on Company H by acquiring new accounts.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Strengthen relationships with mid-tier customers (Company G, Company A).</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Set a strategic target: no single customer should exceed 30% of total revenue.</a:t>
          </a:r>
        </a:p>
        <a:p>
          <a:endParaRPr lang="en-US" sz="1100">
            <a:solidFill>
              <a:schemeClr val="lt1"/>
            </a:solidFill>
            <a:effectLst/>
            <a:latin typeface="+mn-lt"/>
            <a:ea typeface="+mn-ea"/>
            <a:cs typeface="+mn-cs"/>
          </a:endParaRPr>
        </a:p>
        <a:p>
          <a:r>
            <a:rPr lang="en-US" sz="1200" b="1">
              <a:solidFill>
                <a:schemeClr val="lt1"/>
              </a:solidFill>
              <a:effectLst/>
              <a:latin typeface="Arial" panose="020B0604020202020204" pitchFamily="34" charset="0"/>
              <a:ea typeface="+mn-ea"/>
              <a:cs typeface="Arial" panose="020B0604020202020204" pitchFamily="34" charset="0"/>
            </a:rPr>
            <a:t>For Robert Zare</a:t>
          </a:r>
        </a:p>
        <a:p>
          <a:r>
            <a:rPr lang="en-US" sz="1100" b="0">
              <a:solidFill>
                <a:schemeClr val="lt1"/>
              </a:solidFill>
              <a:effectLst/>
              <a:latin typeface="Arial" panose="020B0604020202020204" pitchFamily="34" charset="0"/>
              <a:ea typeface="+mn-ea"/>
              <a:cs typeface="Arial" panose="020B0604020202020204" pitchFamily="34" charset="0"/>
            </a:rPr>
            <a:t>Salesperson Dependency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Robert Zare is the sole driver of sales in this dataset. This creates operational risk if his performance drops or if he leaves.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Regional Limitation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Sales are confined to the West region, missing opportunities in East, North, and Southern markets. This is a geographic concentration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Product Portfolio Imbalance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Heavy reliance on Dairy Products makes the portfolio vulnerable to shifts in demand or supply chain issues in that category.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Pasta provides balance, but Soups are underperforming, suggesting either weak demand or lack of promotion.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Seasonality &amp; Volatility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Peaks in August and April suggest seasonal demand cycles.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February and May dips highlight periods of weak demand, possibly due to market seasonality or operational inefficiencies.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The lack of consistent growth indicates instability in sales performance.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Customer Concentration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Company I is the sole revenue driver. Losing this client would eliminate all sales. This is the most critical risk in the dataset.</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Urban Market Reliance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Strong presence in major cities is positive, but reliance on urban hubs means rural and mid-tier cities remain untapped.This limits overall market reach and growth potential.</a:t>
          </a:r>
        </a:p>
        <a:p>
          <a:endParaRPr lang="en-US" b="0">
            <a:effectLst/>
            <a:latin typeface="Arial" panose="020B0604020202020204" pitchFamily="34" charset="0"/>
            <a:cs typeface="Arial" panose="020B0604020202020204" pitchFamily="34" charset="0"/>
          </a:endParaRPr>
        </a:p>
        <a:p>
          <a:r>
            <a:rPr lang="en-US" sz="1200" b="1">
              <a:solidFill>
                <a:schemeClr val="lt1"/>
              </a:solidFill>
              <a:effectLst/>
              <a:latin typeface="Arial" panose="020B0604020202020204" pitchFamily="34" charset="0"/>
              <a:ea typeface="+mn-ea"/>
              <a:cs typeface="Arial" panose="020B0604020202020204" pitchFamily="34" charset="0"/>
            </a:rPr>
            <a:t>Actionable Recommendations</a:t>
          </a:r>
          <a:endParaRPr lang="en-US" sz="1200" b="1">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Salesforce Development</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Expand the sales team beyond Robert Zare to reduce dependency.Introduce performance incentives and training to encourage broader contributions.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Regional Diversification</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Target East, North, and Southern regions with tailored campaigns.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Conduct market research to identify high-potential states outside the West.</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Product Strategy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Continue leveraging Dairy Products as the flagship category but invest in marketing for Pasta to strengthen secondary revenue streams.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Revitalize Soups through bundling, promotions, or repositioning to increase demand.</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Aim for a more balanced portfolio to reduce risk.</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Seasonality Management</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Investigate causes of February and May dips.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Launch targeted campaigns or discounts during weak months to stabilize revenue.Align inventory planning with seasonal peaks (April, August) to maximize profitability.</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Customer Portfolio Balance</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Reduce reliance on Company I by acquiring new accounts.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Develop loyalty programs to strengthen relationships with mid-tier customers.</a:t>
          </a:r>
          <a:endParaRPr lang="en-US" b="0">
            <a:effectLst/>
            <a:latin typeface="Arial" panose="020B0604020202020204" pitchFamily="34" charset="0"/>
            <a:cs typeface="Arial" panose="020B0604020202020204" pitchFamily="34" charset="0"/>
          </a:endParaRPr>
        </a:p>
        <a:p>
          <a:r>
            <a:rPr lang="en-US" sz="1100" b="0">
              <a:solidFill>
                <a:schemeClr val="lt1"/>
              </a:solidFill>
              <a:effectLst/>
              <a:latin typeface="Arial" panose="020B0604020202020204" pitchFamily="34" charset="0"/>
              <a:ea typeface="+mn-ea"/>
              <a:cs typeface="Arial" panose="020B0604020202020204" pitchFamily="34" charset="0"/>
            </a:rPr>
            <a:t>Set a strategic target: no single customer should exceed 30% of total revenue.</a:t>
          </a:r>
          <a:endParaRPr lang="en-US" b="0">
            <a:effectLst/>
            <a:latin typeface="Arial" panose="020B0604020202020204" pitchFamily="34" charset="0"/>
            <a:cs typeface="Arial" panose="020B0604020202020204" pitchFamily="34" charset="0"/>
          </a:endParaRPr>
        </a:p>
        <a:p>
          <a:endParaRPr lang="en-US" b="0">
            <a:effectLst/>
            <a:latin typeface="Arial" panose="020B0604020202020204" pitchFamily="34" charset="0"/>
            <a:cs typeface="Arial" panose="020B0604020202020204" pitchFamily="34" charset="0"/>
          </a:endParaRPr>
        </a:p>
        <a:p>
          <a:endParaRPr lang="en-US" b="0">
            <a:effectLst/>
            <a:latin typeface="Arial" panose="020B0604020202020204" pitchFamily="34" charset="0"/>
            <a:cs typeface="Arial" panose="020B0604020202020204" pitchFamily="34" charset="0"/>
          </a:endParaRPr>
        </a:p>
        <a:p>
          <a:endParaRPr lang="en-US" sz="1100" b="0">
            <a:solidFill>
              <a:schemeClr val="lt1"/>
            </a:solidFill>
            <a:effectLst/>
            <a:latin typeface="Arial" panose="020B0604020202020204" pitchFamily="34" charset="0"/>
            <a:ea typeface="+mn-ea"/>
            <a:cs typeface="Arial" panose="020B0604020202020204" pitchFamily="34" charset="0"/>
          </a:endParaRPr>
        </a:p>
        <a:p>
          <a:endParaRPr lang="en-US" sz="1100" b="0">
            <a:solidFill>
              <a:schemeClr val="lt1"/>
            </a:solidFill>
            <a:effectLst/>
            <a:latin typeface="Arial" panose="020B0604020202020204" pitchFamily="34" charset="0"/>
            <a:ea typeface="+mn-ea"/>
            <a:cs typeface="Arial" panose="020B0604020202020204" pitchFamily="34" charset="0"/>
          </a:endParaRPr>
        </a:p>
        <a:p>
          <a:endParaRPr lang="en-US" sz="1100">
            <a:solidFill>
              <a:schemeClr val="lt1"/>
            </a:solidFill>
            <a:effectLst/>
            <a:latin typeface="Arial" panose="020B0604020202020204" pitchFamily="34" charset="0"/>
            <a:ea typeface="+mn-ea"/>
            <a:cs typeface="Arial" panose="020B0604020202020204" pitchFamily="34" charset="0"/>
          </a:endParaRPr>
        </a:p>
        <a:p>
          <a:endParaRPr lang="en-US" sz="1100">
            <a:solidFill>
              <a:schemeClr val="lt1"/>
            </a:solidFill>
            <a:effectLst/>
            <a:latin typeface="+mn-lt"/>
            <a:ea typeface="+mn-ea"/>
            <a:cs typeface="+mn-cs"/>
          </a:endParaRPr>
        </a:p>
        <a:p>
          <a:endParaRPr lang="en-US">
            <a:effectLst/>
          </a:endParaRPr>
        </a:p>
        <a:p>
          <a:endParaRPr lang="en-US">
            <a:effectLst/>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65514</xdr:colOff>
      <xdr:row>1</xdr:row>
      <xdr:rowOff>57305</xdr:rowOff>
    </xdr:from>
    <xdr:to>
      <xdr:col>22</xdr:col>
      <xdr:colOff>549818</xdr:colOff>
      <xdr:row>31</xdr:row>
      <xdr:rowOff>123903</xdr:rowOff>
    </xdr:to>
    <xdr:sp macro="" textlink="">
      <xdr:nvSpPr>
        <xdr:cNvPr id="2" name="Rectangle 1">
          <a:extLst>
            <a:ext uri="{FF2B5EF4-FFF2-40B4-BE49-F238E27FC236}">
              <a16:creationId xmlns:a16="http://schemas.microsoft.com/office/drawing/2014/main" id="{F742A129-C382-432E-907B-BC6111CD4456}"/>
            </a:ext>
          </a:extLst>
        </xdr:cNvPr>
        <xdr:cNvSpPr/>
      </xdr:nvSpPr>
      <xdr:spPr>
        <a:xfrm>
          <a:off x="65514" y="243159"/>
          <a:ext cx="13943206" cy="5642207"/>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129013</xdr:colOff>
      <xdr:row>1</xdr:row>
      <xdr:rowOff>97882</xdr:rowOff>
    </xdr:from>
    <xdr:to>
      <xdr:col>1</xdr:col>
      <xdr:colOff>123903</xdr:colOff>
      <xdr:row>31</xdr:row>
      <xdr:rowOff>30976</xdr:rowOff>
    </xdr:to>
    <xdr:sp macro="" textlink="">
      <xdr:nvSpPr>
        <xdr:cNvPr id="3" name="Rectangle 2">
          <a:extLst>
            <a:ext uri="{FF2B5EF4-FFF2-40B4-BE49-F238E27FC236}">
              <a16:creationId xmlns:a16="http://schemas.microsoft.com/office/drawing/2014/main" id="{1FCCD49D-2CCD-4702-A99F-CD46958867CB}"/>
            </a:ext>
          </a:extLst>
        </xdr:cNvPr>
        <xdr:cNvSpPr/>
      </xdr:nvSpPr>
      <xdr:spPr>
        <a:xfrm>
          <a:off x="129013" y="283736"/>
          <a:ext cx="606658" cy="550870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461382</xdr:colOff>
      <xdr:row>4</xdr:row>
      <xdr:rowOff>88746</xdr:rowOff>
    </xdr:from>
    <xdr:to>
      <xdr:col>11</xdr:col>
      <xdr:colOff>416933</xdr:colOff>
      <xdr:row>7</xdr:row>
      <xdr:rowOff>100671</xdr:rowOff>
    </xdr:to>
    <xdr:sp macro="" textlink="">
      <xdr:nvSpPr>
        <xdr:cNvPr id="8" name="Rectangle 7">
          <a:extLst>
            <a:ext uri="{FF2B5EF4-FFF2-40B4-BE49-F238E27FC236}">
              <a16:creationId xmlns:a16="http://schemas.microsoft.com/office/drawing/2014/main" id="{8DEBEE40-C4CF-443F-9D7D-5DF3928C0419}"/>
            </a:ext>
          </a:extLst>
        </xdr:cNvPr>
        <xdr:cNvSpPr/>
      </xdr:nvSpPr>
      <xdr:spPr>
        <a:xfrm>
          <a:off x="5967297" y="832161"/>
          <a:ext cx="1179087" cy="56948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418170</xdr:colOff>
      <xdr:row>4</xdr:row>
      <xdr:rowOff>71864</xdr:rowOff>
    </xdr:from>
    <xdr:to>
      <xdr:col>19</xdr:col>
      <xdr:colOff>286524</xdr:colOff>
      <xdr:row>5</xdr:row>
      <xdr:rowOff>116159</xdr:rowOff>
    </xdr:to>
    <xdr:sp macro="" textlink="">
      <xdr:nvSpPr>
        <xdr:cNvPr id="11" name="Rectangle 10">
          <a:extLst>
            <a:ext uri="{FF2B5EF4-FFF2-40B4-BE49-F238E27FC236}">
              <a16:creationId xmlns:a16="http://schemas.microsoft.com/office/drawing/2014/main" id="{5505E86E-44F3-4F8D-97F2-167144F10369}"/>
            </a:ext>
          </a:extLst>
        </xdr:cNvPr>
        <xdr:cNvSpPr/>
      </xdr:nvSpPr>
      <xdr:spPr>
        <a:xfrm>
          <a:off x="10206463" y="815279"/>
          <a:ext cx="1703659" cy="23014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433658</xdr:colOff>
      <xdr:row>6</xdr:row>
      <xdr:rowOff>54206</xdr:rowOff>
    </xdr:from>
    <xdr:to>
      <xdr:col>16</xdr:col>
      <xdr:colOff>302011</xdr:colOff>
      <xdr:row>7</xdr:row>
      <xdr:rowOff>92926</xdr:rowOff>
    </xdr:to>
    <xdr:sp macro="" textlink="">
      <xdr:nvSpPr>
        <xdr:cNvPr id="14" name="Rectangle 13">
          <a:extLst>
            <a:ext uri="{FF2B5EF4-FFF2-40B4-BE49-F238E27FC236}">
              <a16:creationId xmlns:a16="http://schemas.microsoft.com/office/drawing/2014/main" id="{80CC149C-9F20-4EAA-BC33-865726E037D6}"/>
            </a:ext>
          </a:extLst>
        </xdr:cNvPr>
        <xdr:cNvSpPr/>
      </xdr:nvSpPr>
      <xdr:spPr>
        <a:xfrm>
          <a:off x="8386646" y="1169328"/>
          <a:ext cx="1703658" cy="2245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203200</xdr:colOff>
      <xdr:row>1</xdr:row>
      <xdr:rowOff>154877</xdr:rowOff>
    </xdr:from>
    <xdr:to>
      <xdr:col>11</xdr:col>
      <xdr:colOff>464634</xdr:colOff>
      <xdr:row>3</xdr:row>
      <xdr:rowOff>170366</xdr:rowOff>
    </xdr:to>
    <xdr:sp macro="" textlink="">
      <xdr:nvSpPr>
        <xdr:cNvPr id="15" name="Rectangle 14">
          <a:extLst>
            <a:ext uri="{FF2B5EF4-FFF2-40B4-BE49-F238E27FC236}">
              <a16:creationId xmlns:a16="http://schemas.microsoft.com/office/drawing/2014/main" id="{38800AD5-724C-4E22-B524-1885CFB20366}"/>
            </a:ext>
          </a:extLst>
        </xdr:cNvPr>
        <xdr:cNvSpPr/>
      </xdr:nvSpPr>
      <xdr:spPr>
        <a:xfrm>
          <a:off x="814968" y="340731"/>
          <a:ext cx="6379117" cy="38719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209549</xdr:colOff>
      <xdr:row>7</xdr:row>
      <xdr:rowOff>152399</xdr:rowOff>
    </xdr:from>
    <xdr:to>
      <xdr:col>7</xdr:col>
      <xdr:colOff>371706</xdr:colOff>
      <xdr:row>18</xdr:row>
      <xdr:rowOff>92926</xdr:rowOff>
    </xdr:to>
    <xdr:sp macro="" textlink="">
      <xdr:nvSpPr>
        <xdr:cNvPr id="16" name="Rectangle 15">
          <a:extLst>
            <a:ext uri="{FF2B5EF4-FFF2-40B4-BE49-F238E27FC236}">
              <a16:creationId xmlns:a16="http://schemas.microsoft.com/office/drawing/2014/main" id="{555B94F3-B222-4A8D-89EA-04BF5C921356}"/>
            </a:ext>
          </a:extLst>
        </xdr:cNvPr>
        <xdr:cNvSpPr/>
      </xdr:nvSpPr>
      <xdr:spPr>
        <a:xfrm>
          <a:off x="821317" y="1453375"/>
          <a:ext cx="3832767" cy="19849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201806</xdr:colOff>
      <xdr:row>19</xdr:row>
      <xdr:rowOff>30974</xdr:rowOff>
    </xdr:from>
    <xdr:to>
      <xdr:col>6</xdr:col>
      <xdr:colOff>247805</xdr:colOff>
      <xdr:row>31</xdr:row>
      <xdr:rowOff>6660</xdr:rowOff>
    </xdr:to>
    <xdr:sp macro="" textlink="">
      <xdr:nvSpPr>
        <xdr:cNvPr id="22" name="Rectangle 21">
          <a:extLst>
            <a:ext uri="{FF2B5EF4-FFF2-40B4-BE49-F238E27FC236}">
              <a16:creationId xmlns:a16="http://schemas.microsoft.com/office/drawing/2014/main" id="{533946D9-3D4A-420D-9A70-D0904B770B44}"/>
            </a:ext>
          </a:extLst>
        </xdr:cNvPr>
        <xdr:cNvSpPr/>
      </xdr:nvSpPr>
      <xdr:spPr>
        <a:xfrm>
          <a:off x="813574" y="3562194"/>
          <a:ext cx="3104841" cy="22059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361950</xdr:colOff>
      <xdr:row>19</xdr:row>
      <xdr:rowOff>30975</xdr:rowOff>
    </xdr:from>
    <xdr:to>
      <xdr:col>11</xdr:col>
      <xdr:colOff>524108</xdr:colOff>
      <xdr:row>31</xdr:row>
      <xdr:rowOff>35158</xdr:rowOff>
    </xdr:to>
    <xdr:sp macro="" textlink="">
      <xdr:nvSpPr>
        <xdr:cNvPr id="24" name="Rectangle 23">
          <a:extLst>
            <a:ext uri="{FF2B5EF4-FFF2-40B4-BE49-F238E27FC236}">
              <a16:creationId xmlns:a16="http://schemas.microsoft.com/office/drawing/2014/main" id="{E544874F-56B6-4B41-A28F-AF7A0E2C2DFF}"/>
            </a:ext>
          </a:extLst>
        </xdr:cNvPr>
        <xdr:cNvSpPr/>
      </xdr:nvSpPr>
      <xdr:spPr>
        <a:xfrm>
          <a:off x="4032560" y="3562195"/>
          <a:ext cx="3220999" cy="22344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591790</xdr:colOff>
      <xdr:row>19</xdr:row>
      <xdr:rowOff>54207</xdr:rowOff>
    </xdr:from>
    <xdr:to>
      <xdr:col>17</xdr:col>
      <xdr:colOff>142179</xdr:colOff>
      <xdr:row>31</xdr:row>
      <xdr:rowOff>63655</xdr:rowOff>
    </xdr:to>
    <xdr:sp macro="" textlink="">
      <xdr:nvSpPr>
        <xdr:cNvPr id="25" name="Rectangle 24">
          <a:extLst>
            <a:ext uri="{FF2B5EF4-FFF2-40B4-BE49-F238E27FC236}">
              <a16:creationId xmlns:a16="http://schemas.microsoft.com/office/drawing/2014/main" id="{75A68ADB-1C0C-48E4-9294-7FD63CD0A6D3}"/>
            </a:ext>
          </a:extLst>
        </xdr:cNvPr>
        <xdr:cNvSpPr/>
      </xdr:nvSpPr>
      <xdr:spPr>
        <a:xfrm>
          <a:off x="7321241" y="3585427"/>
          <a:ext cx="3220999" cy="223969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209862</xdr:colOff>
      <xdr:row>19</xdr:row>
      <xdr:rowOff>38719</xdr:rowOff>
    </xdr:from>
    <xdr:to>
      <xdr:col>22</xdr:col>
      <xdr:colOff>317501</xdr:colOff>
      <xdr:row>31</xdr:row>
      <xdr:rowOff>92152</xdr:rowOff>
    </xdr:to>
    <xdr:sp macro="" textlink="">
      <xdr:nvSpPr>
        <xdr:cNvPr id="26" name="Rectangle 25">
          <a:extLst>
            <a:ext uri="{FF2B5EF4-FFF2-40B4-BE49-F238E27FC236}">
              <a16:creationId xmlns:a16="http://schemas.microsoft.com/office/drawing/2014/main" id="{2F5B241E-77C1-4478-A774-7EE80BF1FEB8}"/>
            </a:ext>
          </a:extLst>
        </xdr:cNvPr>
        <xdr:cNvSpPr/>
      </xdr:nvSpPr>
      <xdr:spPr>
        <a:xfrm>
          <a:off x="10609923" y="3569939"/>
          <a:ext cx="3166480" cy="22836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540059</xdr:colOff>
      <xdr:row>7</xdr:row>
      <xdr:rowOff>173153</xdr:rowOff>
    </xdr:from>
    <xdr:to>
      <xdr:col>14</xdr:col>
      <xdr:colOff>232317</xdr:colOff>
      <xdr:row>18</xdr:row>
      <xdr:rowOff>113680</xdr:rowOff>
    </xdr:to>
    <xdr:sp macro="" textlink="">
      <xdr:nvSpPr>
        <xdr:cNvPr id="27" name="Rectangle 26">
          <a:extLst>
            <a:ext uri="{FF2B5EF4-FFF2-40B4-BE49-F238E27FC236}">
              <a16:creationId xmlns:a16="http://schemas.microsoft.com/office/drawing/2014/main" id="{494914B5-F076-49E5-9EC8-A63057C7F8FA}"/>
            </a:ext>
          </a:extLst>
        </xdr:cNvPr>
        <xdr:cNvSpPr/>
      </xdr:nvSpPr>
      <xdr:spPr>
        <a:xfrm>
          <a:off x="4822437" y="1474129"/>
          <a:ext cx="3974636" cy="19849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367215</xdr:colOff>
      <xdr:row>7</xdr:row>
      <xdr:rowOff>178419</xdr:rowOff>
    </xdr:from>
    <xdr:to>
      <xdr:col>22</xdr:col>
      <xdr:colOff>309756</xdr:colOff>
      <xdr:row>18</xdr:row>
      <xdr:rowOff>118946</xdr:rowOff>
    </xdr:to>
    <xdr:sp macro="" textlink="">
      <xdr:nvSpPr>
        <xdr:cNvPr id="28" name="Rectangle 27">
          <a:extLst>
            <a:ext uri="{FF2B5EF4-FFF2-40B4-BE49-F238E27FC236}">
              <a16:creationId xmlns:a16="http://schemas.microsoft.com/office/drawing/2014/main" id="{5615609B-6861-4FDC-8C70-4EA2CB2AB4B9}"/>
            </a:ext>
          </a:extLst>
        </xdr:cNvPr>
        <xdr:cNvSpPr/>
      </xdr:nvSpPr>
      <xdr:spPr>
        <a:xfrm>
          <a:off x="8931971" y="1479395"/>
          <a:ext cx="4836687" cy="19849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407948</xdr:colOff>
      <xdr:row>4</xdr:row>
      <xdr:rowOff>92617</xdr:rowOff>
    </xdr:from>
    <xdr:to>
      <xdr:col>16</xdr:col>
      <xdr:colOff>276302</xdr:colOff>
      <xdr:row>5</xdr:row>
      <xdr:rowOff>136912</xdr:rowOff>
    </xdr:to>
    <xdr:sp macro="" textlink="">
      <xdr:nvSpPr>
        <xdr:cNvPr id="29" name="Rectangle 28">
          <a:extLst>
            <a:ext uri="{FF2B5EF4-FFF2-40B4-BE49-F238E27FC236}">
              <a16:creationId xmlns:a16="http://schemas.microsoft.com/office/drawing/2014/main" id="{BE2CB024-670B-4DAB-8DB2-CA786F0EC169}"/>
            </a:ext>
          </a:extLst>
        </xdr:cNvPr>
        <xdr:cNvSpPr/>
      </xdr:nvSpPr>
      <xdr:spPr>
        <a:xfrm>
          <a:off x="8360936" y="836032"/>
          <a:ext cx="1703659" cy="23014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420957</xdr:colOff>
      <xdr:row>4</xdr:row>
      <xdr:rowOff>59164</xdr:rowOff>
    </xdr:from>
    <xdr:to>
      <xdr:col>22</xdr:col>
      <xdr:colOff>289312</xdr:colOff>
      <xdr:row>5</xdr:row>
      <xdr:rowOff>103459</xdr:rowOff>
    </xdr:to>
    <xdr:sp macro="" textlink="">
      <xdr:nvSpPr>
        <xdr:cNvPr id="30" name="Rectangle 29">
          <a:extLst>
            <a:ext uri="{FF2B5EF4-FFF2-40B4-BE49-F238E27FC236}">
              <a16:creationId xmlns:a16="http://schemas.microsoft.com/office/drawing/2014/main" id="{1483F3E7-AF48-44F9-9D63-113E249E792B}"/>
            </a:ext>
          </a:extLst>
        </xdr:cNvPr>
        <xdr:cNvSpPr/>
      </xdr:nvSpPr>
      <xdr:spPr>
        <a:xfrm>
          <a:off x="12044555" y="802579"/>
          <a:ext cx="1703659" cy="23014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446668</xdr:colOff>
      <xdr:row>6</xdr:row>
      <xdr:rowOff>67216</xdr:rowOff>
    </xdr:from>
    <xdr:to>
      <xdr:col>19</xdr:col>
      <xdr:colOff>315021</xdr:colOff>
      <xdr:row>7</xdr:row>
      <xdr:rowOff>105936</xdr:rowOff>
    </xdr:to>
    <xdr:sp macro="" textlink="">
      <xdr:nvSpPr>
        <xdr:cNvPr id="31" name="Rectangle 30">
          <a:extLst>
            <a:ext uri="{FF2B5EF4-FFF2-40B4-BE49-F238E27FC236}">
              <a16:creationId xmlns:a16="http://schemas.microsoft.com/office/drawing/2014/main" id="{8E3F1D39-BB24-4C52-8D0F-1C508D66F7B6}"/>
            </a:ext>
          </a:extLst>
        </xdr:cNvPr>
        <xdr:cNvSpPr/>
      </xdr:nvSpPr>
      <xdr:spPr>
        <a:xfrm>
          <a:off x="10234961" y="1182338"/>
          <a:ext cx="1703658" cy="2245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428703</xdr:colOff>
      <xdr:row>6</xdr:row>
      <xdr:rowOff>33762</xdr:rowOff>
    </xdr:from>
    <xdr:to>
      <xdr:col>22</xdr:col>
      <xdr:colOff>297057</xdr:colOff>
      <xdr:row>7</xdr:row>
      <xdr:rowOff>72482</xdr:rowOff>
    </xdr:to>
    <xdr:sp macro="" textlink="">
      <xdr:nvSpPr>
        <xdr:cNvPr id="32" name="Rectangle 31">
          <a:extLst>
            <a:ext uri="{FF2B5EF4-FFF2-40B4-BE49-F238E27FC236}">
              <a16:creationId xmlns:a16="http://schemas.microsoft.com/office/drawing/2014/main" id="{D07F7353-87AE-45DB-8DAE-9F24BC941B65}"/>
            </a:ext>
          </a:extLst>
        </xdr:cNvPr>
        <xdr:cNvSpPr/>
      </xdr:nvSpPr>
      <xdr:spPr>
        <a:xfrm>
          <a:off x="12052301" y="1148884"/>
          <a:ext cx="1703658" cy="2245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420185</xdr:colOff>
      <xdr:row>4</xdr:row>
      <xdr:rowOff>78523</xdr:rowOff>
    </xdr:from>
    <xdr:to>
      <xdr:col>9</xdr:col>
      <xdr:colOff>375735</xdr:colOff>
      <xdr:row>7</xdr:row>
      <xdr:rowOff>90448</xdr:rowOff>
    </xdr:to>
    <xdr:sp macro="" textlink="">
      <xdr:nvSpPr>
        <xdr:cNvPr id="33" name="Rectangle 32">
          <a:extLst>
            <a:ext uri="{FF2B5EF4-FFF2-40B4-BE49-F238E27FC236}">
              <a16:creationId xmlns:a16="http://schemas.microsoft.com/office/drawing/2014/main" id="{962360C2-34FA-4E66-A9E4-8CCC3025CE25}"/>
            </a:ext>
          </a:extLst>
        </xdr:cNvPr>
        <xdr:cNvSpPr/>
      </xdr:nvSpPr>
      <xdr:spPr>
        <a:xfrm>
          <a:off x="4702563" y="821938"/>
          <a:ext cx="1179087" cy="56948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317036</xdr:colOff>
      <xdr:row>4</xdr:row>
      <xdr:rowOff>76045</xdr:rowOff>
    </xdr:from>
    <xdr:to>
      <xdr:col>7</xdr:col>
      <xdr:colOff>272586</xdr:colOff>
      <xdr:row>7</xdr:row>
      <xdr:rowOff>87970</xdr:rowOff>
    </xdr:to>
    <xdr:sp macro="" textlink="">
      <xdr:nvSpPr>
        <xdr:cNvPr id="34" name="Rectangle 33">
          <a:extLst>
            <a:ext uri="{FF2B5EF4-FFF2-40B4-BE49-F238E27FC236}">
              <a16:creationId xmlns:a16="http://schemas.microsoft.com/office/drawing/2014/main" id="{0DE73B58-512A-4D02-9EAC-54123D0D783B}"/>
            </a:ext>
          </a:extLst>
        </xdr:cNvPr>
        <xdr:cNvSpPr/>
      </xdr:nvSpPr>
      <xdr:spPr>
        <a:xfrm>
          <a:off x="3375877" y="819460"/>
          <a:ext cx="1179087" cy="56948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275838</xdr:colOff>
      <xdr:row>4</xdr:row>
      <xdr:rowOff>65824</xdr:rowOff>
    </xdr:from>
    <xdr:to>
      <xdr:col>5</xdr:col>
      <xdr:colOff>231389</xdr:colOff>
      <xdr:row>7</xdr:row>
      <xdr:rowOff>77749</xdr:rowOff>
    </xdr:to>
    <xdr:sp macro="" textlink="">
      <xdr:nvSpPr>
        <xdr:cNvPr id="36" name="Rectangle 35">
          <a:extLst>
            <a:ext uri="{FF2B5EF4-FFF2-40B4-BE49-F238E27FC236}">
              <a16:creationId xmlns:a16="http://schemas.microsoft.com/office/drawing/2014/main" id="{A2DF6266-83B9-4C54-AB9F-0E8CB75A32FE}"/>
            </a:ext>
          </a:extLst>
        </xdr:cNvPr>
        <xdr:cNvSpPr/>
      </xdr:nvSpPr>
      <xdr:spPr>
        <a:xfrm>
          <a:off x="2111143" y="809239"/>
          <a:ext cx="1179087" cy="56948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219154</xdr:colOff>
      <xdr:row>4</xdr:row>
      <xdr:rowOff>78834</xdr:rowOff>
    </xdr:from>
    <xdr:to>
      <xdr:col>3</xdr:col>
      <xdr:colOff>174704</xdr:colOff>
      <xdr:row>7</xdr:row>
      <xdr:rowOff>90759</xdr:rowOff>
    </xdr:to>
    <xdr:sp macro="" textlink="">
      <xdr:nvSpPr>
        <xdr:cNvPr id="37" name="Rectangle 36">
          <a:extLst>
            <a:ext uri="{FF2B5EF4-FFF2-40B4-BE49-F238E27FC236}">
              <a16:creationId xmlns:a16="http://schemas.microsoft.com/office/drawing/2014/main" id="{8BB85B66-4E99-4A18-A3F8-8EB2A734E470}"/>
            </a:ext>
          </a:extLst>
        </xdr:cNvPr>
        <xdr:cNvSpPr/>
      </xdr:nvSpPr>
      <xdr:spPr>
        <a:xfrm>
          <a:off x="830922" y="822249"/>
          <a:ext cx="1179087" cy="56948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127000</xdr:colOff>
      <xdr:row>0</xdr:row>
      <xdr:rowOff>116417</xdr:rowOff>
    </xdr:from>
    <xdr:to>
      <xdr:col>31</xdr:col>
      <xdr:colOff>433917</xdr:colOff>
      <xdr:row>43</xdr:row>
      <xdr:rowOff>169333</xdr:rowOff>
    </xdr:to>
    <xdr:graphicFrame macro="">
      <xdr:nvGraphicFramePr>
        <xdr:cNvPr id="82" name="Chart 81">
          <a:extLst>
            <a:ext uri="{FF2B5EF4-FFF2-40B4-BE49-F238E27FC236}">
              <a16:creationId xmlns:a16="http://schemas.microsoft.com/office/drawing/2014/main" id="{F37929ED-E4E5-4D34-853C-0DFC53074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30539</xdr:colOff>
      <xdr:row>1</xdr:row>
      <xdr:rowOff>143933</xdr:rowOff>
    </xdr:from>
    <xdr:to>
      <xdr:col>7</xdr:col>
      <xdr:colOff>499231</xdr:colOff>
      <xdr:row>7</xdr:row>
      <xdr:rowOff>7862</xdr:rowOff>
    </xdr:to>
    <xdr:graphicFrame macro="">
      <xdr:nvGraphicFramePr>
        <xdr:cNvPr id="30" name="Chart 29">
          <a:extLst>
            <a:ext uri="{FF2B5EF4-FFF2-40B4-BE49-F238E27FC236}">
              <a16:creationId xmlns:a16="http://schemas.microsoft.com/office/drawing/2014/main" id="{9160BED7-83CF-471C-90CC-D258E11BE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158750</xdr:colOff>
      <xdr:row>9</xdr:row>
      <xdr:rowOff>137583</xdr:rowOff>
    </xdr:from>
    <xdr:to>
      <xdr:col>11</xdr:col>
      <xdr:colOff>465666</xdr:colOff>
      <xdr:row>26</xdr:row>
      <xdr:rowOff>10584</xdr:rowOff>
    </xdr:to>
    <xdr:graphicFrame macro="">
      <xdr:nvGraphicFramePr>
        <xdr:cNvPr id="37" name="Chart 36">
          <a:extLst>
            <a:ext uri="{FF2B5EF4-FFF2-40B4-BE49-F238E27FC236}">
              <a16:creationId xmlns:a16="http://schemas.microsoft.com/office/drawing/2014/main" id="{E518AE28-B56F-478E-99F9-4B37B16BD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31750</xdr:colOff>
      <xdr:row>9</xdr:row>
      <xdr:rowOff>137584</xdr:rowOff>
    </xdr:from>
    <xdr:to>
      <xdr:col>21</xdr:col>
      <xdr:colOff>391583</xdr:colOff>
      <xdr:row>26</xdr:row>
      <xdr:rowOff>21167</xdr:rowOff>
    </xdr:to>
    <xdr:graphicFrame macro="">
      <xdr:nvGraphicFramePr>
        <xdr:cNvPr id="38" name="Chart 37">
          <a:extLst>
            <a:ext uri="{FF2B5EF4-FFF2-40B4-BE49-F238E27FC236}">
              <a16:creationId xmlns:a16="http://schemas.microsoft.com/office/drawing/2014/main" id="{4429B6A3-BF14-439D-99DB-F12EB92D2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243418</xdr:colOff>
      <xdr:row>26</xdr:row>
      <xdr:rowOff>158750</xdr:rowOff>
    </xdr:from>
    <xdr:to>
      <xdr:col>17</xdr:col>
      <xdr:colOff>296333</xdr:colOff>
      <xdr:row>43</xdr:row>
      <xdr:rowOff>74082</xdr:rowOff>
    </xdr:to>
    <xdr:graphicFrame macro="">
      <xdr:nvGraphicFramePr>
        <xdr:cNvPr id="45" name="Chart 44">
          <a:extLst>
            <a:ext uri="{FF2B5EF4-FFF2-40B4-BE49-F238E27FC236}">
              <a16:creationId xmlns:a16="http://schemas.microsoft.com/office/drawing/2014/main" id="{1CF5DC87-5B49-41BD-B7A7-6A0EDFC0A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444499</xdr:colOff>
      <xdr:row>26</xdr:row>
      <xdr:rowOff>158750</xdr:rowOff>
    </xdr:from>
    <xdr:to>
      <xdr:col>24</xdr:col>
      <xdr:colOff>518583</xdr:colOff>
      <xdr:row>43</xdr:row>
      <xdr:rowOff>95249</xdr:rowOff>
    </xdr:to>
    <xdr:graphicFrame macro="">
      <xdr:nvGraphicFramePr>
        <xdr:cNvPr id="46" name="Chart 45">
          <a:extLst>
            <a:ext uri="{FF2B5EF4-FFF2-40B4-BE49-F238E27FC236}">
              <a16:creationId xmlns:a16="http://schemas.microsoft.com/office/drawing/2014/main" id="{37BCEC94-AB89-43AA-BA6C-73743C40D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560918</xdr:colOff>
      <xdr:row>9</xdr:row>
      <xdr:rowOff>148167</xdr:rowOff>
    </xdr:from>
    <xdr:to>
      <xdr:col>31</xdr:col>
      <xdr:colOff>222251</xdr:colOff>
      <xdr:row>26</xdr:row>
      <xdr:rowOff>31750</xdr:rowOff>
    </xdr:to>
    <xdr:graphicFrame macro="">
      <xdr:nvGraphicFramePr>
        <xdr:cNvPr id="50" name="Chart 49">
          <a:extLst>
            <a:ext uri="{FF2B5EF4-FFF2-40B4-BE49-F238E27FC236}">
              <a16:creationId xmlns:a16="http://schemas.microsoft.com/office/drawing/2014/main" id="{96D0E847-9A0F-4FBB-9A88-1C17BA01D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158750</xdr:colOff>
      <xdr:row>26</xdr:row>
      <xdr:rowOff>137583</xdr:rowOff>
    </xdr:from>
    <xdr:to>
      <xdr:col>9</xdr:col>
      <xdr:colOff>95249</xdr:colOff>
      <xdr:row>43</xdr:row>
      <xdr:rowOff>63499</xdr:rowOff>
    </xdr:to>
    <xdr:graphicFrame macro="">
      <xdr:nvGraphicFramePr>
        <xdr:cNvPr id="56" name="Chart 55">
          <a:extLst>
            <a:ext uri="{FF2B5EF4-FFF2-40B4-BE49-F238E27FC236}">
              <a16:creationId xmlns:a16="http://schemas.microsoft.com/office/drawing/2014/main" id="{D3F72D37-BCCB-456E-8146-7E667D441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21167</xdr:colOff>
      <xdr:row>28</xdr:row>
      <xdr:rowOff>138790</xdr:rowOff>
    </xdr:from>
    <xdr:to>
      <xdr:col>9</xdr:col>
      <xdr:colOff>104322</xdr:colOff>
      <xdr:row>42</xdr:row>
      <xdr:rowOff>158748</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62414FEF-F1E0-4C78-85CA-FD2256D0D1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240367" y="5294990"/>
              <a:ext cx="4350355" cy="25980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240090</xdr:colOff>
      <xdr:row>26</xdr:row>
      <xdr:rowOff>168429</xdr:rowOff>
    </xdr:from>
    <xdr:to>
      <xdr:col>9</xdr:col>
      <xdr:colOff>116417</xdr:colOff>
      <xdr:row>29</xdr:row>
      <xdr:rowOff>31750</xdr:rowOff>
    </xdr:to>
    <xdr:sp macro="" textlink="">
      <xdr:nvSpPr>
        <xdr:cNvPr id="36" name="TextBox 35">
          <a:extLst>
            <a:ext uri="{FF2B5EF4-FFF2-40B4-BE49-F238E27FC236}">
              <a16:creationId xmlns:a16="http://schemas.microsoft.com/office/drawing/2014/main" id="{85583D4C-2850-4F6C-AD1C-57F88F43AC4C}"/>
            </a:ext>
          </a:extLst>
        </xdr:cNvPr>
        <xdr:cNvSpPr txBox="1"/>
      </xdr:nvSpPr>
      <xdr:spPr>
        <a:xfrm>
          <a:off x="2081590" y="4846262"/>
          <a:ext cx="3559327" cy="403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2000" b="1" i="0" baseline="0">
              <a:solidFill>
                <a:srgbClr val="3C5C26"/>
              </a:solidFill>
              <a:effectLst/>
              <a:latin typeface="Arial" panose="020B0604020202020204" pitchFamily="34" charset="0"/>
              <a:ea typeface="+mn-ea"/>
              <a:cs typeface="Arial" panose="020B0604020202020204" pitchFamily="34" charset="0"/>
            </a:rPr>
            <a:t>State Performance </a:t>
          </a:r>
          <a:r>
            <a:rPr lang="en-US" sz="1400" b="1" i="1" baseline="0">
              <a:solidFill>
                <a:srgbClr val="3C5C26"/>
              </a:solidFill>
              <a:effectLst/>
              <a:latin typeface="Arial" panose="020B0604020202020204" pitchFamily="34" charset="0"/>
              <a:ea typeface="+mn-ea"/>
              <a:cs typeface="Arial" panose="020B0604020202020204" pitchFamily="34" charset="0"/>
            </a:rPr>
            <a:t>by Revenue</a:t>
          </a:r>
          <a:endParaRPr lang="en-US" sz="1400" b="1" i="1">
            <a:solidFill>
              <a:srgbClr val="3C5C26"/>
            </a:solidFill>
            <a:effectLst/>
            <a:latin typeface="Arial" panose="020B0604020202020204" pitchFamily="34" charset="0"/>
            <a:cs typeface="Arial" panose="020B0604020202020204" pitchFamily="34" charset="0"/>
          </a:endParaRPr>
        </a:p>
      </xdr:txBody>
    </xdr:sp>
    <xdr:clientData/>
  </xdr:twoCellAnchor>
  <xdr:twoCellAnchor>
    <xdr:from>
      <xdr:col>0</xdr:col>
      <xdr:colOff>201083</xdr:colOff>
      <xdr:row>1</xdr:row>
      <xdr:rowOff>21167</xdr:rowOff>
    </xdr:from>
    <xdr:to>
      <xdr:col>3</xdr:col>
      <xdr:colOff>84667</xdr:colOff>
      <xdr:row>43</xdr:row>
      <xdr:rowOff>105833</xdr:rowOff>
    </xdr:to>
    <xdr:graphicFrame macro="">
      <xdr:nvGraphicFramePr>
        <xdr:cNvPr id="57" name="Chart 56">
          <a:extLst>
            <a:ext uri="{FF2B5EF4-FFF2-40B4-BE49-F238E27FC236}">
              <a16:creationId xmlns:a16="http://schemas.microsoft.com/office/drawing/2014/main" id="{DBF0F43A-3C8C-4D54-8425-F4C295514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112183</xdr:colOff>
      <xdr:row>4</xdr:row>
      <xdr:rowOff>40218</xdr:rowOff>
    </xdr:from>
    <xdr:to>
      <xdr:col>2</xdr:col>
      <xdr:colOff>321309</xdr:colOff>
      <xdr:row>8</xdr:row>
      <xdr:rowOff>143512</xdr:rowOff>
    </xdr:to>
    <xdr:pic>
      <xdr:nvPicPr>
        <xdr:cNvPr id="53" name="Graphic 1" descr="Advertising">
          <a:extLst>
            <a:ext uri="{FF2B5EF4-FFF2-40B4-BE49-F238E27FC236}">
              <a16:creationId xmlns:a16="http://schemas.microsoft.com/office/drawing/2014/main" id="{92187EB8-BE87-4C0F-81DA-F90376D1AAB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26016" y="759885"/>
          <a:ext cx="822960" cy="822960"/>
        </a:xfrm>
        <a:prstGeom prst="rect">
          <a:avLst/>
        </a:prstGeom>
      </xdr:spPr>
    </xdr:pic>
    <xdr:clientData/>
  </xdr:twoCellAnchor>
  <xdr:twoCellAnchor>
    <xdr:from>
      <xdr:col>0</xdr:col>
      <xdr:colOff>219830</xdr:colOff>
      <xdr:row>8</xdr:row>
      <xdr:rowOff>48078</xdr:rowOff>
    </xdr:from>
    <xdr:to>
      <xdr:col>3</xdr:col>
      <xdr:colOff>148166</xdr:colOff>
      <xdr:row>11</xdr:row>
      <xdr:rowOff>84668</xdr:rowOff>
    </xdr:to>
    <xdr:sp macro="" textlink="">
      <xdr:nvSpPr>
        <xdr:cNvPr id="7" name="TextBox 6">
          <a:extLst>
            <a:ext uri="{FF2B5EF4-FFF2-40B4-BE49-F238E27FC236}">
              <a16:creationId xmlns:a16="http://schemas.microsoft.com/office/drawing/2014/main" id="{9506CF84-834E-4412-814D-3C0E0F513D74}"/>
            </a:ext>
          </a:extLst>
        </xdr:cNvPr>
        <xdr:cNvSpPr txBox="1"/>
      </xdr:nvSpPr>
      <xdr:spPr>
        <a:xfrm>
          <a:off x="219830" y="1487411"/>
          <a:ext cx="1769836" cy="576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385723"/>
              </a:solidFill>
              <a:latin typeface="Arial" panose="020B0604020202020204" pitchFamily="34" charset="0"/>
              <a:cs typeface="Arial" panose="020B0604020202020204" pitchFamily="34" charset="0"/>
            </a:rPr>
            <a:t>Pre-analysis</a:t>
          </a:r>
        </a:p>
      </xdr:txBody>
    </xdr:sp>
    <xdr:clientData/>
  </xdr:twoCellAnchor>
  <xdr:twoCellAnchor editAs="oneCell">
    <xdr:from>
      <xdr:col>1</xdr:col>
      <xdr:colOff>145750</xdr:colOff>
      <xdr:row>10</xdr:row>
      <xdr:rowOff>66221</xdr:rowOff>
    </xdr:from>
    <xdr:to>
      <xdr:col>2</xdr:col>
      <xdr:colOff>354876</xdr:colOff>
      <xdr:row>14</xdr:row>
      <xdr:rowOff>169515</xdr:rowOff>
    </xdr:to>
    <xdr:pic>
      <xdr:nvPicPr>
        <xdr:cNvPr id="60" name="Graphic 1" descr="Person with idea">
          <a:extLst>
            <a:ext uri="{FF2B5EF4-FFF2-40B4-BE49-F238E27FC236}">
              <a16:creationId xmlns:a16="http://schemas.microsoft.com/office/drawing/2014/main" id="{DA6A326D-5B0D-43FA-8D13-7C1658C304A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59583" y="1865388"/>
          <a:ext cx="822960" cy="822960"/>
        </a:xfrm>
        <a:prstGeom prst="rect">
          <a:avLst/>
        </a:prstGeom>
      </xdr:spPr>
    </xdr:pic>
    <xdr:clientData/>
  </xdr:twoCellAnchor>
  <xdr:twoCellAnchor>
    <xdr:from>
      <xdr:col>0</xdr:col>
      <xdr:colOff>365574</xdr:colOff>
      <xdr:row>14</xdr:row>
      <xdr:rowOff>116419</xdr:rowOff>
    </xdr:from>
    <xdr:to>
      <xdr:col>3</xdr:col>
      <xdr:colOff>222250</xdr:colOff>
      <xdr:row>16</xdr:row>
      <xdr:rowOff>116415</xdr:rowOff>
    </xdr:to>
    <xdr:sp macro="" textlink="">
      <xdr:nvSpPr>
        <xdr:cNvPr id="9" name="TextBox 8">
          <a:extLst>
            <a:ext uri="{FF2B5EF4-FFF2-40B4-BE49-F238E27FC236}">
              <a16:creationId xmlns:a16="http://schemas.microsoft.com/office/drawing/2014/main" id="{C429FDA0-9BA1-4CF9-87E4-5DA0B0785513}"/>
            </a:ext>
          </a:extLst>
        </xdr:cNvPr>
        <xdr:cNvSpPr txBox="1"/>
      </xdr:nvSpPr>
      <xdr:spPr>
        <a:xfrm>
          <a:off x="365574" y="2635252"/>
          <a:ext cx="1698176" cy="359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385723"/>
              </a:solidFill>
              <a:latin typeface="Arial" panose="020B0604020202020204" pitchFamily="34" charset="0"/>
              <a:cs typeface="Arial" panose="020B0604020202020204" pitchFamily="34" charset="0"/>
            </a:rPr>
            <a:t>In-Analysis</a:t>
          </a:r>
        </a:p>
      </xdr:txBody>
    </xdr:sp>
    <xdr:clientData/>
  </xdr:twoCellAnchor>
  <xdr:twoCellAnchor editAs="oneCell">
    <xdr:from>
      <xdr:col>1</xdr:col>
      <xdr:colOff>133350</xdr:colOff>
      <xdr:row>16</xdr:row>
      <xdr:rowOff>156632</xdr:rowOff>
    </xdr:from>
    <xdr:to>
      <xdr:col>2</xdr:col>
      <xdr:colOff>342476</xdr:colOff>
      <xdr:row>21</xdr:row>
      <xdr:rowOff>80009</xdr:rowOff>
    </xdr:to>
    <xdr:pic>
      <xdr:nvPicPr>
        <xdr:cNvPr id="61" name="Graphic 1" descr="Magnifying glass">
          <a:extLst>
            <a:ext uri="{FF2B5EF4-FFF2-40B4-BE49-F238E27FC236}">
              <a16:creationId xmlns:a16="http://schemas.microsoft.com/office/drawing/2014/main" id="{A5E9C809-1652-4B94-9374-996521E9F01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47183" y="3035299"/>
          <a:ext cx="822960" cy="822960"/>
        </a:xfrm>
        <a:prstGeom prst="rect">
          <a:avLst/>
        </a:prstGeom>
      </xdr:spPr>
    </xdr:pic>
    <xdr:clientData/>
  </xdr:twoCellAnchor>
  <xdr:twoCellAnchor>
    <xdr:from>
      <xdr:col>0</xdr:col>
      <xdr:colOff>235857</xdr:colOff>
      <xdr:row>20</xdr:row>
      <xdr:rowOff>146354</xdr:rowOff>
    </xdr:from>
    <xdr:to>
      <xdr:col>3</xdr:col>
      <xdr:colOff>201082</xdr:colOff>
      <xdr:row>23</xdr:row>
      <xdr:rowOff>1</xdr:rowOff>
    </xdr:to>
    <xdr:sp macro="" textlink="">
      <xdr:nvSpPr>
        <xdr:cNvPr id="11" name="TextBox 10">
          <a:extLst>
            <a:ext uri="{FF2B5EF4-FFF2-40B4-BE49-F238E27FC236}">
              <a16:creationId xmlns:a16="http://schemas.microsoft.com/office/drawing/2014/main" id="{0A891E69-181A-4ABB-9490-3184D126D7AF}"/>
            </a:ext>
          </a:extLst>
        </xdr:cNvPr>
        <xdr:cNvSpPr txBox="1"/>
      </xdr:nvSpPr>
      <xdr:spPr>
        <a:xfrm>
          <a:off x="235857" y="3744687"/>
          <a:ext cx="1806725" cy="393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50000"/>
                </a:schemeClr>
              </a:solidFill>
              <a:latin typeface="Arial" panose="020B0604020202020204" pitchFamily="34" charset="0"/>
              <a:cs typeface="Arial" panose="020B0604020202020204" pitchFamily="34" charset="0"/>
            </a:rPr>
            <a:t>Observation</a:t>
          </a:r>
        </a:p>
      </xdr:txBody>
    </xdr:sp>
    <xdr:clientData/>
  </xdr:twoCellAnchor>
  <xdr:twoCellAnchor editAs="oneCell">
    <xdr:from>
      <xdr:col>1</xdr:col>
      <xdr:colOff>179918</xdr:colOff>
      <xdr:row>23</xdr:row>
      <xdr:rowOff>97366</xdr:rowOff>
    </xdr:from>
    <xdr:to>
      <xdr:col>2</xdr:col>
      <xdr:colOff>389044</xdr:colOff>
      <xdr:row>28</xdr:row>
      <xdr:rowOff>20742</xdr:rowOff>
    </xdr:to>
    <xdr:pic>
      <xdr:nvPicPr>
        <xdr:cNvPr id="62" name="Graphic 1" descr="Rocket">
          <a:extLst>
            <a:ext uri="{FF2B5EF4-FFF2-40B4-BE49-F238E27FC236}">
              <a16:creationId xmlns:a16="http://schemas.microsoft.com/office/drawing/2014/main" id="{3BB266DA-8C8F-4331-ACAD-624D3E257EF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793751" y="4235449"/>
          <a:ext cx="822960" cy="822960"/>
        </a:xfrm>
        <a:prstGeom prst="rect">
          <a:avLst/>
        </a:prstGeom>
      </xdr:spPr>
    </xdr:pic>
    <xdr:clientData/>
  </xdr:twoCellAnchor>
  <xdr:twoCellAnchor>
    <xdr:from>
      <xdr:col>0</xdr:col>
      <xdr:colOff>511929</xdr:colOff>
      <xdr:row>27</xdr:row>
      <xdr:rowOff>69545</xdr:rowOff>
    </xdr:from>
    <xdr:to>
      <xdr:col>4</xdr:col>
      <xdr:colOff>74084</xdr:colOff>
      <xdr:row>30</xdr:row>
      <xdr:rowOff>84668</xdr:rowOff>
    </xdr:to>
    <xdr:sp macro="" textlink="">
      <xdr:nvSpPr>
        <xdr:cNvPr id="13" name="TextBox 12">
          <a:extLst>
            <a:ext uri="{FF2B5EF4-FFF2-40B4-BE49-F238E27FC236}">
              <a16:creationId xmlns:a16="http://schemas.microsoft.com/office/drawing/2014/main" id="{794F8D8D-2B01-4AD3-B96D-CDC93F527E44}"/>
            </a:ext>
          </a:extLst>
        </xdr:cNvPr>
        <xdr:cNvSpPr txBox="1"/>
      </xdr:nvSpPr>
      <xdr:spPr>
        <a:xfrm>
          <a:off x="511929" y="4927295"/>
          <a:ext cx="2017488" cy="554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50000"/>
                </a:schemeClr>
              </a:solidFill>
              <a:latin typeface="Arial" panose="020B0604020202020204" pitchFamily="34" charset="0"/>
              <a:cs typeface="Arial" panose="020B0604020202020204" pitchFamily="34" charset="0"/>
            </a:rPr>
            <a:t>Planning</a:t>
          </a:r>
        </a:p>
      </xdr:txBody>
    </xdr:sp>
    <xdr:clientData/>
  </xdr:twoCellAnchor>
  <xdr:twoCellAnchor editAs="oneCell">
    <xdr:from>
      <xdr:col>1</xdr:col>
      <xdr:colOff>91017</xdr:colOff>
      <xdr:row>29</xdr:row>
      <xdr:rowOff>167218</xdr:rowOff>
    </xdr:from>
    <xdr:to>
      <xdr:col>2</xdr:col>
      <xdr:colOff>300143</xdr:colOff>
      <xdr:row>34</xdr:row>
      <xdr:rowOff>90594</xdr:rowOff>
    </xdr:to>
    <xdr:pic>
      <xdr:nvPicPr>
        <xdr:cNvPr id="64" name="Graphic 1" descr="Bar graph with upward trend">
          <a:extLst>
            <a:ext uri="{FF2B5EF4-FFF2-40B4-BE49-F238E27FC236}">
              <a16:creationId xmlns:a16="http://schemas.microsoft.com/office/drawing/2014/main" id="{9F02AEEC-4948-4DD6-90D2-5C2801529ECF}"/>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704850" y="5384801"/>
          <a:ext cx="822960" cy="822960"/>
        </a:xfrm>
        <a:prstGeom prst="rect">
          <a:avLst/>
        </a:prstGeom>
      </xdr:spPr>
    </xdr:pic>
    <xdr:clientData/>
  </xdr:twoCellAnchor>
  <xdr:twoCellAnchor>
    <xdr:from>
      <xdr:col>0</xdr:col>
      <xdr:colOff>603250</xdr:colOff>
      <xdr:row>33</xdr:row>
      <xdr:rowOff>132140</xdr:rowOff>
    </xdr:from>
    <xdr:to>
      <xdr:col>3</xdr:col>
      <xdr:colOff>380999</xdr:colOff>
      <xdr:row>36</xdr:row>
      <xdr:rowOff>84666</xdr:rowOff>
    </xdr:to>
    <xdr:sp macro="" textlink="">
      <xdr:nvSpPr>
        <xdr:cNvPr id="15" name="TextBox 14">
          <a:extLst>
            <a:ext uri="{FF2B5EF4-FFF2-40B4-BE49-F238E27FC236}">
              <a16:creationId xmlns:a16="http://schemas.microsoft.com/office/drawing/2014/main" id="{5AEA9AD5-6792-4DC9-9CBA-B8CAB59B7E82}"/>
            </a:ext>
          </a:extLst>
        </xdr:cNvPr>
        <xdr:cNvSpPr txBox="1"/>
      </xdr:nvSpPr>
      <xdr:spPr>
        <a:xfrm>
          <a:off x="603250" y="6069390"/>
          <a:ext cx="1619249" cy="492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50000"/>
                </a:schemeClr>
              </a:solidFill>
              <a:latin typeface="Arial" panose="020B0604020202020204" pitchFamily="34" charset="0"/>
              <a:cs typeface="Arial" panose="020B0604020202020204" pitchFamily="34" charset="0"/>
            </a:rPr>
            <a:t>Insight</a:t>
          </a:r>
        </a:p>
      </xdr:txBody>
    </xdr:sp>
    <xdr:clientData/>
  </xdr:twoCellAnchor>
  <xdr:twoCellAnchor editAs="oneCell">
    <xdr:from>
      <xdr:col>1</xdr:col>
      <xdr:colOff>112182</xdr:colOff>
      <xdr:row>36</xdr:row>
      <xdr:rowOff>40217</xdr:rowOff>
    </xdr:from>
    <xdr:to>
      <xdr:col>2</xdr:col>
      <xdr:colOff>321308</xdr:colOff>
      <xdr:row>40</xdr:row>
      <xdr:rowOff>143510</xdr:rowOff>
    </xdr:to>
    <xdr:pic>
      <xdr:nvPicPr>
        <xdr:cNvPr id="63" name="Graphic 1" descr="Document">
          <a:extLst>
            <a:ext uri="{FF2B5EF4-FFF2-40B4-BE49-F238E27FC236}">
              <a16:creationId xmlns:a16="http://schemas.microsoft.com/office/drawing/2014/main" id="{D1E8E815-F81B-47AA-8911-02EC6C2FFA5D}"/>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726015" y="6517217"/>
          <a:ext cx="822960" cy="822960"/>
        </a:xfrm>
        <a:prstGeom prst="rect">
          <a:avLst/>
        </a:prstGeom>
      </xdr:spPr>
    </xdr:pic>
    <xdr:clientData/>
  </xdr:twoCellAnchor>
  <xdr:twoCellAnchor>
    <xdr:from>
      <xdr:col>0</xdr:col>
      <xdr:colOff>142119</xdr:colOff>
      <xdr:row>40</xdr:row>
      <xdr:rowOff>71059</xdr:rowOff>
    </xdr:from>
    <xdr:to>
      <xdr:col>4</xdr:col>
      <xdr:colOff>179917</xdr:colOff>
      <xdr:row>43</xdr:row>
      <xdr:rowOff>116417</xdr:rowOff>
    </xdr:to>
    <xdr:sp macro="" textlink="">
      <xdr:nvSpPr>
        <xdr:cNvPr id="17" name="TextBox 16">
          <a:extLst>
            <a:ext uri="{FF2B5EF4-FFF2-40B4-BE49-F238E27FC236}">
              <a16:creationId xmlns:a16="http://schemas.microsoft.com/office/drawing/2014/main" id="{7D76EB7E-D7A8-4298-9BF3-D876AD2A1C28}"/>
            </a:ext>
          </a:extLst>
        </xdr:cNvPr>
        <xdr:cNvSpPr txBox="1"/>
      </xdr:nvSpPr>
      <xdr:spPr>
        <a:xfrm>
          <a:off x="142119" y="7267726"/>
          <a:ext cx="2493131" cy="585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50000"/>
                </a:schemeClr>
              </a:solidFill>
              <a:latin typeface="Arial" panose="020B0604020202020204" pitchFamily="34" charset="0"/>
              <a:cs typeface="Arial" panose="020B0604020202020204" pitchFamily="34" charset="0"/>
            </a:rPr>
            <a:t>Post-Analysis</a:t>
          </a:r>
        </a:p>
      </xdr:txBody>
    </xdr:sp>
    <xdr:clientData/>
  </xdr:twoCellAnchor>
  <xdr:twoCellAnchor>
    <xdr:from>
      <xdr:col>3</xdr:col>
      <xdr:colOff>158750</xdr:colOff>
      <xdr:row>4</xdr:row>
      <xdr:rowOff>116415</xdr:rowOff>
    </xdr:from>
    <xdr:to>
      <xdr:col>7</xdr:col>
      <xdr:colOff>148167</xdr:colOff>
      <xdr:row>9</xdr:row>
      <xdr:rowOff>31750</xdr:rowOff>
    </xdr:to>
    <xdr:graphicFrame macro="">
      <xdr:nvGraphicFramePr>
        <xdr:cNvPr id="58" name="Chart 57">
          <a:extLst>
            <a:ext uri="{FF2B5EF4-FFF2-40B4-BE49-F238E27FC236}">
              <a16:creationId xmlns:a16="http://schemas.microsoft.com/office/drawing/2014/main" id="{D2C39B94-5B20-4236-934A-970799E31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xdr:col>
      <xdr:colOff>377978</xdr:colOff>
      <xdr:row>4</xdr:row>
      <xdr:rowOff>178404</xdr:rowOff>
    </xdr:from>
    <xdr:to>
      <xdr:col>8</xdr:col>
      <xdr:colOff>10582</xdr:colOff>
      <xdr:row>8</xdr:row>
      <xdr:rowOff>31750</xdr:rowOff>
    </xdr:to>
    <xdr:sp macro="" textlink="">
      <xdr:nvSpPr>
        <xdr:cNvPr id="25" name="TextBox 24">
          <a:extLst>
            <a:ext uri="{FF2B5EF4-FFF2-40B4-BE49-F238E27FC236}">
              <a16:creationId xmlns:a16="http://schemas.microsoft.com/office/drawing/2014/main" id="{99A2969D-66AB-4789-8EEE-9A07E3C9E62A}"/>
            </a:ext>
          </a:extLst>
        </xdr:cNvPr>
        <xdr:cNvSpPr txBox="1"/>
      </xdr:nvSpPr>
      <xdr:spPr>
        <a:xfrm>
          <a:off x="2219478" y="898071"/>
          <a:ext cx="2701771" cy="573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Arial" panose="020B0604020202020204" pitchFamily="34" charset="0"/>
              <a:cs typeface="Arial" panose="020B0604020202020204" pitchFamily="34" charset="0"/>
            </a:rPr>
            <a:t>Best Transaction Range</a:t>
          </a:r>
        </a:p>
      </xdr:txBody>
    </xdr:sp>
    <xdr:clientData/>
  </xdr:twoCellAnchor>
  <xdr:twoCellAnchor>
    <xdr:from>
      <xdr:col>4</xdr:col>
      <xdr:colOff>162983</xdr:colOff>
      <xdr:row>6</xdr:row>
      <xdr:rowOff>126697</xdr:rowOff>
    </xdr:from>
    <xdr:to>
      <xdr:col>7</xdr:col>
      <xdr:colOff>26912</xdr:colOff>
      <xdr:row>9</xdr:row>
      <xdr:rowOff>116417</xdr:rowOff>
    </xdr:to>
    <xdr:sp macro="" textlink="">
      <xdr:nvSpPr>
        <xdr:cNvPr id="26" name="TextBox 25">
          <a:extLst>
            <a:ext uri="{FF2B5EF4-FFF2-40B4-BE49-F238E27FC236}">
              <a16:creationId xmlns:a16="http://schemas.microsoft.com/office/drawing/2014/main" id="{F7B1109A-E3D1-4AEE-AA70-CC7A036EC335}"/>
            </a:ext>
          </a:extLst>
        </xdr:cNvPr>
        <xdr:cNvSpPr txBox="1"/>
      </xdr:nvSpPr>
      <xdr:spPr>
        <a:xfrm>
          <a:off x="2618316" y="1206197"/>
          <a:ext cx="1705429" cy="529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panose="020B0604020202020204" pitchFamily="34" charset="0"/>
              <a:cs typeface="Arial" panose="020B0604020202020204" pitchFamily="34" charset="0"/>
            </a:rPr>
            <a:t>0-1000</a:t>
          </a:r>
        </a:p>
      </xdr:txBody>
    </xdr:sp>
    <xdr:clientData/>
  </xdr:twoCellAnchor>
  <xdr:twoCellAnchor>
    <xdr:from>
      <xdr:col>4</xdr:col>
      <xdr:colOff>402168</xdr:colOff>
      <xdr:row>4</xdr:row>
      <xdr:rowOff>31750</xdr:rowOff>
    </xdr:from>
    <xdr:to>
      <xdr:col>7</xdr:col>
      <xdr:colOff>116418</xdr:colOff>
      <xdr:row>5</xdr:row>
      <xdr:rowOff>105835</xdr:rowOff>
    </xdr:to>
    <xdr:graphicFrame macro="">
      <xdr:nvGraphicFramePr>
        <xdr:cNvPr id="59" name="Chart 58">
          <a:extLst>
            <a:ext uri="{FF2B5EF4-FFF2-40B4-BE49-F238E27FC236}">
              <a16:creationId xmlns:a16="http://schemas.microsoft.com/office/drawing/2014/main" id="{47240033-5F60-46C5-A2B1-F6F49E687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222249</xdr:colOff>
      <xdr:row>4</xdr:row>
      <xdr:rowOff>116416</xdr:rowOff>
    </xdr:from>
    <xdr:to>
      <xdr:col>11</xdr:col>
      <xdr:colOff>275166</xdr:colOff>
      <xdr:row>9</xdr:row>
      <xdr:rowOff>42333</xdr:rowOff>
    </xdr:to>
    <xdr:graphicFrame macro="">
      <xdr:nvGraphicFramePr>
        <xdr:cNvPr id="66" name="Chart 65">
          <a:extLst>
            <a:ext uri="{FF2B5EF4-FFF2-40B4-BE49-F238E27FC236}">
              <a16:creationId xmlns:a16="http://schemas.microsoft.com/office/drawing/2014/main" id="{E0552BAA-98C5-478A-8827-FCFB8F948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501652</xdr:colOff>
      <xdr:row>5</xdr:row>
      <xdr:rowOff>4229</xdr:rowOff>
    </xdr:from>
    <xdr:to>
      <xdr:col>11</xdr:col>
      <xdr:colOff>571499</xdr:colOff>
      <xdr:row>11</xdr:row>
      <xdr:rowOff>21166</xdr:rowOff>
    </xdr:to>
    <xdr:sp macro="" textlink="">
      <xdr:nvSpPr>
        <xdr:cNvPr id="27" name="TextBox 26">
          <a:extLst>
            <a:ext uri="{FF2B5EF4-FFF2-40B4-BE49-F238E27FC236}">
              <a16:creationId xmlns:a16="http://schemas.microsoft.com/office/drawing/2014/main" id="{F1317DC7-22EA-44A6-B494-4EB766EF0B24}"/>
            </a:ext>
          </a:extLst>
        </xdr:cNvPr>
        <xdr:cNvSpPr txBox="1"/>
      </xdr:nvSpPr>
      <xdr:spPr>
        <a:xfrm>
          <a:off x="4798485" y="903812"/>
          <a:ext cx="2525181" cy="1096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Arial" panose="020B0604020202020204" pitchFamily="34" charset="0"/>
              <a:cs typeface="Arial" panose="020B0604020202020204" pitchFamily="34" charset="0"/>
            </a:rPr>
            <a:t>Regional Lead </a:t>
          </a:r>
        </a:p>
      </xdr:txBody>
    </xdr:sp>
    <xdr:clientData/>
  </xdr:twoCellAnchor>
  <xdr:twoCellAnchor>
    <xdr:from>
      <xdr:col>7</xdr:col>
      <xdr:colOff>566964</xdr:colOff>
      <xdr:row>6</xdr:row>
      <xdr:rowOff>97668</xdr:rowOff>
    </xdr:from>
    <xdr:to>
      <xdr:col>11</xdr:col>
      <xdr:colOff>76504</xdr:colOff>
      <xdr:row>9</xdr:row>
      <xdr:rowOff>127000</xdr:rowOff>
    </xdr:to>
    <xdr:sp macro="" textlink="">
      <xdr:nvSpPr>
        <xdr:cNvPr id="28" name="TextBox 27">
          <a:extLst>
            <a:ext uri="{FF2B5EF4-FFF2-40B4-BE49-F238E27FC236}">
              <a16:creationId xmlns:a16="http://schemas.microsoft.com/office/drawing/2014/main" id="{6DE2E3D8-A984-47CA-AED0-898EC9489ABA}"/>
            </a:ext>
          </a:extLst>
        </xdr:cNvPr>
        <xdr:cNvSpPr txBox="1"/>
      </xdr:nvSpPr>
      <xdr:spPr>
        <a:xfrm>
          <a:off x="4863797" y="1177168"/>
          <a:ext cx="1964874" cy="569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panose="020B0604020202020204" pitchFamily="34" charset="0"/>
              <a:cs typeface="Arial" panose="020B0604020202020204" pitchFamily="34" charset="0"/>
            </a:rPr>
            <a:t>New York</a:t>
          </a:r>
        </a:p>
      </xdr:txBody>
    </xdr:sp>
    <xdr:clientData/>
  </xdr:twoCellAnchor>
  <xdr:twoCellAnchor>
    <xdr:from>
      <xdr:col>9</xdr:col>
      <xdr:colOff>14817</xdr:colOff>
      <xdr:row>4</xdr:row>
      <xdr:rowOff>21166</xdr:rowOff>
    </xdr:from>
    <xdr:to>
      <xdr:col>11</xdr:col>
      <xdr:colOff>232833</xdr:colOff>
      <xdr:row>5</xdr:row>
      <xdr:rowOff>99485</xdr:rowOff>
    </xdr:to>
    <xdr:graphicFrame macro="">
      <xdr:nvGraphicFramePr>
        <xdr:cNvPr id="67" name="Chart 66">
          <a:extLst>
            <a:ext uri="{FF2B5EF4-FFF2-40B4-BE49-F238E27FC236}">
              <a16:creationId xmlns:a16="http://schemas.microsoft.com/office/drawing/2014/main" id="{EBF62A20-0586-49DD-A942-77447E617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11</xdr:col>
      <xdr:colOff>361951</xdr:colOff>
      <xdr:row>4</xdr:row>
      <xdr:rowOff>127000</xdr:rowOff>
    </xdr:from>
    <xdr:to>
      <xdr:col>15</xdr:col>
      <xdr:colOff>438150</xdr:colOff>
      <xdr:row>9</xdr:row>
      <xdr:rowOff>31750</xdr:rowOff>
    </xdr:to>
    <xdr:graphicFrame macro="">
      <xdr:nvGraphicFramePr>
        <xdr:cNvPr id="68" name="Chart 67">
          <a:extLst>
            <a:ext uri="{FF2B5EF4-FFF2-40B4-BE49-F238E27FC236}">
              <a16:creationId xmlns:a16="http://schemas.microsoft.com/office/drawing/2014/main" id="{58CF17CA-3D56-4126-8356-85695AB7E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12</xdr:col>
      <xdr:colOff>19049</xdr:colOff>
      <xdr:row>5</xdr:row>
      <xdr:rowOff>11489</xdr:rowOff>
    </xdr:from>
    <xdr:to>
      <xdr:col>17</xdr:col>
      <xdr:colOff>31749</xdr:colOff>
      <xdr:row>10</xdr:row>
      <xdr:rowOff>42332</xdr:rowOff>
    </xdr:to>
    <xdr:sp macro="" textlink="">
      <xdr:nvSpPr>
        <xdr:cNvPr id="39" name="TextBox 38">
          <a:extLst>
            <a:ext uri="{FF2B5EF4-FFF2-40B4-BE49-F238E27FC236}">
              <a16:creationId xmlns:a16="http://schemas.microsoft.com/office/drawing/2014/main" id="{7E5831B4-50C0-4A03-948F-F3DFF4AFA645}"/>
            </a:ext>
          </a:extLst>
        </xdr:cNvPr>
        <xdr:cNvSpPr txBox="1"/>
      </xdr:nvSpPr>
      <xdr:spPr>
        <a:xfrm>
          <a:off x="7385049" y="911072"/>
          <a:ext cx="3081867" cy="930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Arial" panose="020B0604020202020204" pitchFamily="34" charset="0"/>
              <a:cs typeface="Arial" panose="020B0604020202020204" pitchFamily="34" charset="0"/>
            </a:rPr>
            <a:t>Top Salesperson </a:t>
          </a:r>
        </a:p>
      </xdr:txBody>
    </xdr:sp>
    <xdr:clientData/>
  </xdr:twoCellAnchor>
  <xdr:twoCellAnchor>
    <xdr:from>
      <xdr:col>12</xdr:col>
      <xdr:colOff>441175</xdr:colOff>
      <xdr:row>6</xdr:row>
      <xdr:rowOff>86782</xdr:rowOff>
    </xdr:from>
    <xdr:to>
      <xdr:col>15</xdr:col>
      <xdr:colOff>570597</xdr:colOff>
      <xdr:row>9</xdr:row>
      <xdr:rowOff>105834</xdr:rowOff>
    </xdr:to>
    <xdr:sp macro="" textlink="">
      <xdr:nvSpPr>
        <xdr:cNvPr id="40" name="TextBox 39">
          <a:extLst>
            <a:ext uri="{FF2B5EF4-FFF2-40B4-BE49-F238E27FC236}">
              <a16:creationId xmlns:a16="http://schemas.microsoft.com/office/drawing/2014/main" id="{FBFD916F-9B87-4C15-9F3C-7270826F976D}"/>
            </a:ext>
          </a:extLst>
        </xdr:cNvPr>
        <xdr:cNvSpPr txBox="1"/>
      </xdr:nvSpPr>
      <xdr:spPr>
        <a:xfrm>
          <a:off x="7807175" y="1166282"/>
          <a:ext cx="1970922" cy="558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panose="020B0604020202020204" pitchFamily="34" charset="0"/>
              <a:cs typeface="Arial" panose="020B0604020202020204" pitchFamily="34" charset="0"/>
            </a:rPr>
            <a:t>Nancy</a:t>
          </a:r>
        </a:p>
      </xdr:txBody>
    </xdr:sp>
    <xdr:clientData/>
  </xdr:twoCellAnchor>
  <xdr:twoCellAnchor>
    <xdr:from>
      <xdr:col>13</xdr:col>
      <xdr:colOff>61384</xdr:colOff>
      <xdr:row>3</xdr:row>
      <xdr:rowOff>169332</xdr:rowOff>
    </xdr:from>
    <xdr:to>
      <xdr:col>15</xdr:col>
      <xdr:colOff>423333</xdr:colOff>
      <xdr:row>5</xdr:row>
      <xdr:rowOff>135466</xdr:rowOff>
    </xdr:to>
    <xdr:graphicFrame macro="">
      <xdr:nvGraphicFramePr>
        <xdr:cNvPr id="69" name="Chart 68">
          <a:extLst>
            <a:ext uri="{FF2B5EF4-FFF2-40B4-BE49-F238E27FC236}">
              <a16:creationId xmlns:a16="http://schemas.microsoft.com/office/drawing/2014/main" id="{73DFE909-8A9F-4B79-8E43-BED230827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15</xdr:col>
      <xdr:colOff>503768</xdr:colOff>
      <xdr:row>4</xdr:row>
      <xdr:rowOff>116416</xdr:rowOff>
    </xdr:from>
    <xdr:to>
      <xdr:col>19</xdr:col>
      <xdr:colOff>579967</xdr:colOff>
      <xdr:row>9</xdr:row>
      <xdr:rowOff>21166</xdr:rowOff>
    </xdr:to>
    <xdr:graphicFrame macro="">
      <xdr:nvGraphicFramePr>
        <xdr:cNvPr id="70" name="Chart 69">
          <a:extLst>
            <a:ext uri="{FF2B5EF4-FFF2-40B4-BE49-F238E27FC236}">
              <a16:creationId xmlns:a16="http://schemas.microsoft.com/office/drawing/2014/main" id="{F98940EA-8CC3-4740-9CFD-B341BADFD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15</xdr:col>
      <xdr:colOff>560917</xdr:colOff>
      <xdr:row>5</xdr:row>
      <xdr:rowOff>42936</xdr:rowOff>
    </xdr:from>
    <xdr:to>
      <xdr:col>20</xdr:col>
      <xdr:colOff>176288</xdr:colOff>
      <xdr:row>7</xdr:row>
      <xdr:rowOff>42333</xdr:rowOff>
    </xdr:to>
    <xdr:sp macro="" textlink="">
      <xdr:nvSpPr>
        <xdr:cNvPr id="41" name="TextBox 40">
          <a:extLst>
            <a:ext uri="{FF2B5EF4-FFF2-40B4-BE49-F238E27FC236}">
              <a16:creationId xmlns:a16="http://schemas.microsoft.com/office/drawing/2014/main" id="{3DAED726-1D83-427B-B417-00EEC4D532D2}"/>
            </a:ext>
          </a:extLst>
        </xdr:cNvPr>
        <xdr:cNvSpPr txBox="1"/>
      </xdr:nvSpPr>
      <xdr:spPr>
        <a:xfrm>
          <a:off x="9768417" y="942519"/>
          <a:ext cx="2684538" cy="359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Arial" panose="020B0604020202020204" pitchFamily="34" charset="0"/>
              <a:cs typeface="Arial" panose="020B0604020202020204" pitchFamily="34" charset="0"/>
            </a:rPr>
            <a:t>Peak month for 14</a:t>
          </a:r>
          <a:r>
            <a:rPr lang="en-US" sz="2000" baseline="30000">
              <a:solidFill>
                <a:schemeClr val="bg1"/>
              </a:solidFill>
              <a:latin typeface="Arial" panose="020B0604020202020204" pitchFamily="34" charset="0"/>
              <a:cs typeface="Arial" panose="020B0604020202020204" pitchFamily="34" charset="0"/>
            </a:rPr>
            <a:t>th</a:t>
          </a:r>
        </a:p>
      </xdr:txBody>
    </xdr:sp>
    <xdr:clientData/>
  </xdr:twoCellAnchor>
  <xdr:twoCellAnchor>
    <xdr:from>
      <xdr:col>16</xdr:col>
      <xdr:colOff>351668</xdr:colOff>
      <xdr:row>6</xdr:row>
      <xdr:rowOff>125791</xdr:rowOff>
    </xdr:from>
    <xdr:to>
      <xdr:col>19</xdr:col>
      <xdr:colOff>475042</xdr:colOff>
      <xdr:row>8</xdr:row>
      <xdr:rowOff>138492</xdr:rowOff>
    </xdr:to>
    <xdr:sp macro="" textlink="">
      <xdr:nvSpPr>
        <xdr:cNvPr id="42" name="TextBox 41">
          <a:extLst>
            <a:ext uri="{FF2B5EF4-FFF2-40B4-BE49-F238E27FC236}">
              <a16:creationId xmlns:a16="http://schemas.microsoft.com/office/drawing/2014/main" id="{F0FF336B-F422-45B4-B1C8-A70657050D05}"/>
            </a:ext>
          </a:extLst>
        </xdr:cNvPr>
        <xdr:cNvSpPr txBox="1"/>
      </xdr:nvSpPr>
      <xdr:spPr>
        <a:xfrm>
          <a:off x="10173001" y="1205291"/>
          <a:ext cx="1964874"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panose="020B0604020202020204" pitchFamily="34" charset="0"/>
              <a:cs typeface="Arial" panose="020B0604020202020204" pitchFamily="34" charset="0"/>
            </a:rPr>
            <a:t>December</a:t>
          </a:r>
        </a:p>
      </xdr:txBody>
    </xdr:sp>
    <xdr:clientData/>
  </xdr:twoCellAnchor>
  <xdr:twoCellAnchor>
    <xdr:from>
      <xdr:col>17</xdr:col>
      <xdr:colOff>171449</xdr:colOff>
      <xdr:row>3</xdr:row>
      <xdr:rowOff>137584</xdr:rowOff>
    </xdr:from>
    <xdr:to>
      <xdr:col>19</xdr:col>
      <xdr:colOff>529166</xdr:colOff>
      <xdr:row>5</xdr:row>
      <xdr:rowOff>160869</xdr:rowOff>
    </xdr:to>
    <xdr:graphicFrame macro="">
      <xdr:nvGraphicFramePr>
        <xdr:cNvPr id="71" name="Chart 70">
          <a:extLst>
            <a:ext uri="{FF2B5EF4-FFF2-40B4-BE49-F238E27FC236}">
              <a16:creationId xmlns:a16="http://schemas.microsoft.com/office/drawing/2014/main" id="{593DE0DF-C810-46E3-8D75-BE0B62885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20</xdr:col>
      <xdr:colOff>42335</xdr:colOff>
      <xdr:row>4</xdr:row>
      <xdr:rowOff>95250</xdr:rowOff>
    </xdr:from>
    <xdr:to>
      <xdr:col>24</xdr:col>
      <xdr:colOff>118534</xdr:colOff>
      <xdr:row>8</xdr:row>
      <xdr:rowOff>179916</xdr:rowOff>
    </xdr:to>
    <xdr:graphicFrame macro="">
      <xdr:nvGraphicFramePr>
        <xdr:cNvPr id="72" name="Chart 71">
          <a:extLst>
            <a:ext uri="{FF2B5EF4-FFF2-40B4-BE49-F238E27FC236}">
              <a16:creationId xmlns:a16="http://schemas.microsoft.com/office/drawing/2014/main" id="{D67CA96E-D66E-4E08-B136-27F259008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20</xdr:col>
      <xdr:colOff>304197</xdr:colOff>
      <xdr:row>5</xdr:row>
      <xdr:rowOff>9371</xdr:rowOff>
    </xdr:from>
    <xdr:to>
      <xdr:col>24</xdr:col>
      <xdr:colOff>9678</xdr:colOff>
      <xdr:row>7</xdr:row>
      <xdr:rowOff>11187</xdr:rowOff>
    </xdr:to>
    <xdr:sp macro="" textlink="">
      <xdr:nvSpPr>
        <xdr:cNvPr id="44" name="TextBox 43">
          <a:extLst>
            <a:ext uri="{FF2B5EF4-FFF2-40B4-BE49-F238E27FC236}">
              <a16:creationId xmlns:a16="http://schemas.microsoft.com/office/drawing/2014/main" id="{BC9D5892-CBF3-498F-AFC4-7511111375DD}"/>
            </a:ext>
          </a:extLst>
        </xdr:cNvPr>
        <xdr:cNvSpPr txBox="1"/>
      </xdr:nvSpPr>
      <xdr:spPr>
        <a:xfrm>
          <a:off x="12580864" y="908954"/>
          <a:ext cx="2160814" cy="36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Arial" panose="020B0604020202020204" pitchFamily="34" charset="0"/>
              <a:cs typeface="Arial" panose="020B0604020202020204" pitchFamily="34" charset="0"/>
            </a:rPr>
            <a:t>Sum of Revenue</a:t>
          </a:r>
        </a:p>
      </xdr:txBody>
    </xdr:sp>
    <xdr:clientData/>
  </xdr:twoCellAnchor>
  <xdr:twoCellAnchor>
    <xdr:from>
      <xdr:col>21</xdr:col>
      <xdr:colOff>33869</xdr:colOff>
      <xdr:row>6</xdr:row>
      <xdr:rowOff>101296</xdr:rowOff>
    </xdr:from>
    <xdr:to>
      <xdr:col>24</xdr:col>
      <xdr:colOff>163290</xdr:colOff>
      <xdr:row>8</xdr:row>
      <xdr:rowOff>113997</xdr:rowOff>
    </xdr:to>
    <xdr:sp macro="" textlink="">
      <xdr:nvSpPr>
        <xdr:cNvPr id="43" name="TextBox 42">
          <a:extLst>
            <a:ext uri="{FF2B5EF4-FFF2-40B4-BE49-F238E27FC236}">
              <a16:creationId xmlns:a16="http://schemas.microsoft.com/office/drawing/2014/main" id="{2E60263A-CC18-4037-9FE4-954219A69E4A}"/>
            </a:ext>
          </a:extLst>
        </xdr:cNvPr>
        <xdr:cNvSpPr txBox="1"/>
      </xdr:nvSpPr>
      <xdr:spPr>
        <a:xfrm>
          <a:off x="12924369" y="1180796"/>
          <a:ext cx="1970921"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panose="020B0604020202020204" pitchFamily="34" charset="0"/>
              <a:cs typeface="Arial" panose="020B0604020202020204" pitchFamily="34" charset="0"/>
            </a:rPr>
            <a:t>$435,</a:t>
          </a:r>
          <a:r>
            <a:rPr lang="en-US" sz="2400" b="1" baseline="0">
              <a:solidFill>
                <a:schemeClr val="bg1"/>
              </a:solidFill>
              <a:latin typeface="Arial" panose="020B0604020202020204" pitchFamily="34" charset="0"/>
              <a:cs typeface="Arial" panose="020B0604020202020204" pitchFamily="34" charset="0"/>
            </a:rPr>
            <a:t>066</a:t>
          </a:r>
          <a:endParaRPr lang="en-US" sz="2400" b="1">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313267</xdr:colOff>
      <xdr:row>3</xdr:row>
      <xdr:rowOff>95250</xdr:rowOff>
    </xdr:from>
    <xdr:to>
      <xdr:col>24</xdr:col>
      <xdr:colOff>31751</xdr:colOff>
      <xdr:row>5</xdr:row>
      <xdr:rowOff>143935</xdr:rowOff>
    </xdr:to>
    <xdr:graphicFrame macro="">
      <xdr:nvGraphicFramePr>
        <xdr:cNvPr id="73" name="Chart 72">
          <a:extLst>
            <a:ext uri="{FF2B5EF4-FFF2-40B4-BE49-F238E27FC236}">
              <a16:creationId xmlns:a16="http://schemas.microsoft.com/office/drawing/2014/main" id="{B39BEB6E-E3A8-426A-A49E-E3C5B3FE2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25</xdr:col>
      <xdr:colOff>95249</xdr:colOff>
      <xdr:row>26</xdr:row>
      <xdr:rowOff>158749</xdr:rowOff>
    </xdr:from>
    <xdr:to>
      <xdr:col>31</xdr:col>
      <xdr:colOff>222249</xdr:colOff>
      <xdr:row>43</xdr:row>
      <xdr:rowOff>88898</xdr:rowOff>
    </xdr:to>
    <xdr:graphicFrame macro="">
      <xdr:nvGraphicFramePr>
        <xdr:cNvPr id="77" name="Chart 76">
          <a:extLst>
            <a:ext uri="{FF2B5EF4-FFF2-40B4-BE49-F238E27FC236}">
              <a16:creationId xmlns:a16="http://schemas.microsoft.com/office/drawing/2014/main" id="{209CBE7F-E7A1-46AA-A2F1-E2D179489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25</xdr:col>
      <xdr:colOff>116418</xdr:colOff>
      <xdr:row>28</xdr:row>
      <xdr:rowOff>84666</xdr:rowOff>
    </xdr:from>
    <xdr:to>
      <xdr:col>31</xdr:col>
      <xdr:colOff>148168</xdr:colOff>
      <xdr:row>43</xdr:row>
      <xdr:rowOff>63501</xdr:rowOff>
    </xdr:to>
    <mc:AlternateContent xmlns:mc="http://schemas.openxmlformats.org/markup-compatibility/2006">
      <mc:Choice xmlns:cx1="http://schemas.microsoft.com/office/drawing/2015/9/8/chartex" Requires="cx1">
        <xdr:graphicFrame macro="">
          <xdr:nvGraphicFramePr>
            <xdr:cNvPr id="76" name="Chart 75">
              <a:extLst>
                <a:ext uri="{FF2B5EF4-FFF2-40B4-BE49-F238E27FC236}">
                  <a16:creationId xmlns:a16="http://schemas.microsoft.com/office/drawing/2014/main" id="{AE48FA59-F31A-48FD-BEFB-97316CAFB3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4"/>
            </a:graphicData>
          </a:graphic>
        </xdr:graphicFrame>
      </mc:Choice>
      <mc:Fallback>
        <xdr:sp macro="" textlink="">
          <xdr:nvSpPr>
            <xdr:cNvPr id="0" name=""/>
            <xdr:cNvSpPr>
              <a:spLocks noTextEdit="1"/>
            </xdr:cNvSpPr>
          </xdr:nvSpPr>
          <xdr:spPr>
            <a:xfrm>
              <a:off x="15356418" y="5240866"/>
              <a:ext cx="3689350" cy="27410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154215</xdr:colOff>
      <xdr:row>26</xdr:row>
      <xdr:rowOff>109766</xdr:rowOff>
    </xdr:from>
    <xdr:to>
      <xdr:col>30</xdr:col>
      <xdr:colOff>518583</xdr:colOff>
      <xdr:row>29</xdr:row>
      <xdr:rowOff>95250</xdr:rowOff>
    </xdr:to>
    <xdr:sp macro="" textlink="">
      <xdr:nvSpPr>
        <xdr:cNvPr id="19" name="TextBox 18">
          <a:extLst>
            <a:ext uri="{FF2B5EF4-FFF2-40B4-BE49-F238E27FC236}">
              <a16:creationId xmlns:a16="http://schemas.microsoft.com/office/drawing/2014/main" id="{2277DC79-BB46-4D05-A5EE-AD4BE83DCF38}"/>
            </a:ext>
          </a:extLst>
        </xdr:cNvPr>
        <xdr:cNvSpPr txBox="1"/>
      </xdr:nvSpPr>
      <xdr:spPr>
        <a:xfrm>
          <a:off x="15500048" y="4787599"/>
          <a:ext cx="3433535" cy="525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50000"/>
                </a:schemeClr>
              </a:solidFill>
              <a:latin typeface="Arial" panose="020B0604020202020204" pitchFamily="34" charset="0"/>
              <a:cs typeface="Arial" panose="020B0604020202020204" pitchFamily="34" charset="0"/>
            </a:rPr>
            <a:t>Top 6 Ship</a:t>
          </a:r>
          <a:r>
            <a:rPr lang="en-US" sz="2000" b="1" baseline="0">
              <a:solidFill>
                <a:schemeClr val="accent6">
                  <a:lumMod val="50000"/>
                </a:schemeClr>
              </a:solidFill>
              <a:latin typeface="Arial" panose="020B0604020202020204" pitchFamily="34" charset="0"/>
              <a:cs typeface="Arial" panose="020B0604020202020204" pitchFamily="34" charset="0"/>
            </a:rPr>
            <a:t> </a:t>
          </a:r>
          <a:r>
            <a:rPr lang="en-US" sz="2000" b="1">
              <a:solidFill>
                <a:schemeClr val="accent6">
                  <a:lumMod val="50000"/>
                </a:schemeClr>
              </a:solidFill>
              <a:latin typeface="Arial" panose="020B0604020202020204" pitchFamily="34" charset="0"/>
              <a:cs typeface="Arial" panose="020B0604020202020204" pitchFamily="34" charset="0"/>
            </a:rPr>
            <a:t>Cities </a:t>
          </a:r>
          <a:r>
            <a:rPr lang="en-US" sz="1400" b="1" i="1">
              <a:solidFill>
                <a:schemeClr val="accent6">
                  <a:lumMod val="50000"/>
                </a:schemeClr>
              </a:solidFill>
              <a:latin typeface="Arial" panose="020B0604020202020204" pitchFamily="34" charset="0"/>
              <a:cs typeface="Arial" panose="020B0604020202020204" pitchFamily="34" charset="0"/>
            </a:rPr>
            <a:t>by Revenue</a:t>
          </a:r>
        </a:p>
      </xdr:txBody>
    </xdr:sp>
    <xdr:clientData/>
  </xdr:twoCellAnchor>
  <xdr:twoCellAnchor>
    <xdr:from>
      <xdr:col>3</xdr:col>
      <xdr:colOff>95251</xdr:colOff>
      <xdr:row>0</xdr:row>
      <xdr:rowOff>0</xdr:rowOff>
    </xdr:from>
    <xdr:to>
      <xdr:col>20</xdr:col>
      <xdr:colOff>518583</xdr:colOff>
      <xdr:row>5</xdr:row>
      <xdr:rowOff>148167</xdr:rowOff>
    </xdr:to>
    <xdr:sp macro="" textlink="">
      <xdr:nvSpPr>
        <xdr:cNvPr id="10" name="TextBox 9">
          <a:extLst>
            <a:ext uri="{FF2B5EF4-FFF2-40B4-BE49-F238E27FC236}">
              <a16:creationId xmlns:a16="http://schemas.microsoft.com/office/drawing/2014/main" id="{E3B4E72E-24E3-4098-9E96-088CEDD949B7}"/>
            </a:ext>
          </a:extLst>
        </xdr:cNvPr>
        <xdr:cNvSpPr txBox="1"/>
      </xdr:nvSpPr>
      <xdr:spPr>
        <a:xfrm>
          <a:off x="1936751" y="0"/>
          <a:ext cx="10858499"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4000" b="1">
              <a:solidFill>
                <a:srgbClr val="2E471D"/>
              </a:solidFill>
              <a:latin typeface="Arial" panose="020B0604020202020204" pitchFamily="34" charset="0"/>
              <a:cs typeface="Arial" panose="020B0604020202020204" pitchFamily="34" charset="0"/>
            </a:rPr>
            <a:t>Apex Business Profitability Analysis</a:t>
          </a:r>
        </a:p>
      </xdr:txBody>
    </xdr:sp>
    <xdr:clientData/>
  </xdr:twoCellAnchor>
  <xdr:twoCellAnchor>
    <xdr:from>
      <xdr:col>25</xdr:col>
      <xdr:colOff>148167</xdr:colOff>
      <xdr:row>4</xdr:row>
      <xdr:rowOff>52916</xdr:rowOff>
    </xdr:from>
    <xdr:to>
      <xdr:col>31</xdr:col>
      <xdr:colOff>222251</xdr:colOff>
      <xdr:row>8</xdr:row>
      <xdr:rowOff>179916</xdr:rowOff>
    </xdr:to>
    <xdr:graphicFrame macro="">
      <xdr:nvGraphicFramePr>
        <xdr:cNvPr id="81" name="Chart 80">
          <a:extLst>
            <a:ext uri="{FF2B5EF4-FFF2-40B4-BE49-F238E27FC236}">
              <a16:creationId xmlns:a16="http://schemas.microsoft.com/office/drawing/2014/main" id="{F5898EF7-2919-4F95-850F-A3C497730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editAs="oneCell">
    <xdr:from>
      <xdr:col>25</xdr:col>
      <xdr:colOff>232834</xdr:colOff>
      <xdr:row>4</xdr:row>
      <xdr:rowOff>86784</xdr:rowOff>
    </xdr:from>
    <xdr:to>
      <xdr:col>31</xdr:col>
      <xdr:colOff>10583</xdr:colOff>
      <xdr:row>6</xdr:row>
      <xdr:rowOff>127001</xdr:rowOff>
    </xdr:to>
    <mc:AlternateContent xmlns:mc="http://schemas.openxmlformats.org/markup-compatibility/2006" xmlns:a14="http://schemas.microsoft.com/office/drawing/2010/main">
      <mc:Choice Requires="a14">
        <xdr:graphicFrame macro="">
          <xdr:nvGraphicFramePr>
            <xdr:cNvPr id="12" name="Salesperson 2">
              <a:extLst>
                <a:ext uri="{FF2B5EF4-FFF2-40B4-BE49-F238E27FC236}">
                  <a16:creationId xmlns:a16="http://schemas.microsoft.com/office/drawing/2014/main" id="{630A56C6-E043-4DCE-A5FE-890DA8209DA0}"/>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15705667" y="806451"/>
              <a:ext cx="3333749" cy="400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254001</xdr:colOff>
      <xdr:row>6</xdr:row>
      <xdr:rowOff>74082</xdr:rowOff>
    </xdr:from>
    <xdr:to>
      <xdr:col>31</xdr:col>
      <xdr:colOff>1</xdr:colOff>
      <xdr:row>8</xdr:row>
      <xdr:rowOff>116416</xdr:rowOff>
    </xdr:to>
    <mc:AlternateContent xmlns:mc="http://schemas.openxmlformats.org/markup-compatibility/2006" xmlns:a14="http://schemas.microsoft.com/office/drawing/2010/main">
      <mc:Choice Requires="a14">
        <xdr:graphicFrame macro="">
          <xdr:nvGraphicFramePr>
            <xdr:cNvPr id="14" name="Product Name 2">
              <a:extLst>
                <a:ext uri="{FF2B5EF4-FFF2-40B4-BE49-F238E27FC236}">
                  <a16:creationId xmlns:a16="http://schemas.microsoft.com/office/drawing/2014/main" id="{B2D91775-7937-4F0D-97AB-A083BE80827A}"/>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15684500" y="1153582"/>
              <a:ext cx="3344333" cy="402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96461</xdr:colOff>
      <xdr:row>43</xdr:row>
      <xdr:rowOff>140303</xdr:rowOff>
    </xdr:from>
    <xdr:to>
      <xdr:col>32</xdr:col>
      <xdr:colOff>374651</xdr:colOff>
      <xdr:row>45</xdr:row>
      <xdr:rowOff>87388</xdr:rowOff>
    </xdr:to>
    <xdr:sp macro="" textlink="">
      <xdr:nvSpPr>
        <xdr:cNvPr id="52" name="TextBox 51">
          <a:extLst>
            <a:ext uri="{FF2B5EF4-FFF2-40B4-BE49-F238E27FC236}">
              <a16:creationId xmlns:a16="http://schemas.microsoft.com/office/drawing/2014/main" id="{3DA84B85-53A5-4751-ABA3-73B77BDA1C7B}"/>
            </a:ext>
          </a:extLst>
        </xdr:cNvPr>
        <xdr:cNvSpPr txBox="1"/>
      </xdr:nvSpPr>
      <xdr:spPr>
        <a:xfrm>
          <a:off x="17897628" y="7876720"/>
          <a:ext cx="2119690" cy="306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6">
                  <a:lumMod val="50000"/>
                </a:schemeClr>
              </a:solidFill>
              <a:latin typeface="Arial" panose="020B0604020202020204" pitchFamily="34" charset="0"/>
              <a:cs typeface="Arial" panose="020B0604020202020204" pitchFamily="34" charset="0"/>
            </a:rPr>
            <a:t>Analysis by: Godgift. B</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69850</xdr:colOff>
      <xdr:row>25</xdr:row>
      <xdr:rowOff>50800</xdr:rowOff>
    </xdr:to>
    <xdr:pic>
      <xdr:nvPicPr>
        <xdr:cNvPr id="3" name="Picture 2">
          <a:extLst>
            <a:ext uri="{FF2B5EF4-FFF2-40B4-BE49-F238E27FC236}">
              <a16:creationId xmlns:a16="http://schemas.microsoft.com/office/drawing/2014/main" id="{429BC01D-2DCC-493C-ACD0-C6F57A5648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652250" cy="46545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49.516599768518" createdVersion="6" refreshedVersion="6" minRefreshableVersion="3" recordCount="369" xr:uid="{CF0CBDD4-85C2-4D74-A02A-3F619F02BD53}">
  <cacheSource type="worksheet">
    <worksheetSource ref="A1:Z370" sheet="Data"/>
  </cacheSource>
  <cacheFields count="27">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Customer ID" numFmtId="0">
      <sharedItems containsSemiMixedTypes="0" containsString="0" containsNumber="1" containsInteger="1" minValue="1" maxValue="29" count="15">
        <n v="27"/>
        <n v="4"/>
        <n v="12"/>
        <n v="8"/>
        <n v="29"/>
        <n v="3"/>
        <n v="6"/>
        <n v="28"/>
        <n v="10"/>
        <n v="7"/>
        <n v="11"/>
        <n v="1"/>
        <n v="9"/>
        <n v="25"/>
        <n v="26"/>
      </sharedItems>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ount="15">
        <s v="789 27th Street"/>
        <s v="123 4th Street"/>
        <s v="123 12th Street"/>
        <s v="123 8th Street"/>
        <s v="789 29th Street"/>
        <s v="123 3rd Street"/>
        <s v="123 6th Street"/>
        <s v="789 28th Street"/>
        <s v="123 10th Street"/>
        <s v="123 7th Street"/>
        <s v="123 11th Street"/>
        <s v="123 1st Street"/>
        <s v="123 9th Street"/>
        <s v="789 25th Street"/>
        <s v="789 26th Street"/>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 name="Months"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782798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x v="0"/>
    <x v="0"/>
    <x v="0"/>
    <x v="0"/>
    <x v="0"/>
    <n v="99999"/>
    <s v="USA"/>
    <x v="0"/>
    <x v="0"/>
    <d v="2014-01-29T00:00:00"/>
    <s v="Shipping Company B"/>
    <s v="Karen Toh"/>
    <s v="789 27th Street"/>
    <x v="0"/>
    <s v="NV"/>
    <n v="99999"/>
    <s v="USA"/>
    <s v="Check"/>
    <x v="0"/>
    <x v="0"/>
    <n v="14"/>
    <n v="49"/>
    <x v="0"/>
    <n v="66.542000000000002"/>
  </r>
  <r>
    <n v="1002"/>
    <x v="0"/>
    <x v="0"/>
    <x v="0"/>
    <x v="0"/>
    <x v="0"/>
    <x v="0"/>
    <n v="99999"/>
    <s v="USA"/>
    <x v="0"/>
    <x v="0"/>
    <d v="2014-01-29T00:00:00"/>
    <s v="Shipping Company B"/>
    <s v="Karen Toh"/>
    <s v="789 27th Street"/>
    <x v="0"/>
    <s v="NV"/>
    <n v="99999"/>
    <s v="USA"/>
    <s v="Check"/>
    <x v="1"/>
    <x v="1"/>
    <n v="3.5"/>
    <n v="47"/>
    <x v="1"/>
    <n v="16.6145"/>
  </r>
  <r>
    <n v="1003"/>
    <x v="1"/>
    <x v="1"/>
    <x v="1"/>
    <x v="1"/>
    <x v="1"/>
    <x v="1"/>
    <n v="99999"/>
    <s v="USA"/>
    <x v="1"/>
    <x v="1"/>
    <d v="2014-01-06T00:00:00"/>
    <s v="Shipping Company A"/>
    <s v="Christina Lee"/>
    <s v="123 4th Street"/>
    <x v="1"/>
    <s v="NY"/>
    <n v="99999"/>
    <s v="USA"/>
    <s v="Credit Card"/>
    <x v="2"/>
    <x v="1"/>
    <n v="30"/>
    <n v="69"/>
    <x v="2"/>
    <n v="198.72"/>
  </r>
  <r>
    <n v="1004"/>
    <x v="1"/>
    <x v="1"/>
    <x v="1"/>
    <x v="1"/>
    <x v="1"/>
    <x v="1"/>
    <n v="99999"/>
    <s v="USA"/>
    <x v="1"/>
    <x v="1"/>
    <d v="2014-01-06T00:00:00"/>
    <s v="Shipping Company A"/>
    <s v="Christina Lee"/>
    <s v="123 4th Street"/>
    <x v="1"/>
    <s v="NY"/>
    <n v="99999"/>
    <s v="USA"/>
    <s v="Credit Card"/>
    <x v="3"/>
    <x v="1"/>
    <n v="53"/>
    <n v="89"/>
    <x v="3"/>
    <n v="448.11500000000001"/>
  </r>
  <r>
    <n v="1005"/>
    <x v="1"/>
    <x v="1"/>
    <x v="1"/>
    <x v="1"/>
    <x v="1"/>
    <x v="1"/>
    <n v="99999"/>
    <s v="USA"/>
    <x v="1"/>
    <x v="1"/>
    <d v="2014-01-06T00:00:00"/>
    <s v="Shipping Company A"/>
    <s v="Christina Lee"/>
    <s v="123 4th Street"/>
    <x v="1"/>
    <s v="NY"/>
    <n v="99999"/>
    <s v="USA"/>
    <s v="Credit Card"/>
    <x v="1"/>
    <x v="1"/>
    <n v="3.5"/>
    <n v="11"/>
    <x v="4"/>
    <n v="3.7345000000000002"/>
  </r>
  <r>
    <n v="1006"/>
    <x v="2"/>
    <x v="2"/>
    <x v="2"/>
    <x v="2"/>
    <x v="0"/>
    <x v="0"/>
    <n v="99999"/>
    <s v="USA"/>
    <x v="0"/>
    <x v="0"/>
    <d v="2014-01-14T00:00:00"/>
    <s v="Shipping Company B"/>
    <s v="John Edwards"/>
    <s v="123 12th Street"/>
    <x v="0"/>
    <s v="NV"/>
    <n v="99999"/>
    <s v="USA"/>
    <s v="Credit Card"/>
    <x v="4"/>
    <x v="0"/>
    <n v="18"/>
    <n v="81"/>
    <x v="5"/>
    <n v="141.42600000000002"/>
  </r>
  <r>
    <n v="1007"/>
    <x v="2"/>
    <x v="2"/>
    <x v="2"/>
    <x v="2"/>
    <x v="0"/>
    <x v="0"/>
    <n v="99999"/>
    <s v="USA"/>
    <x v="0"/>
    <x v="0"/>
    <d v="2014-01-14T00:00:00"/>
    <s v="Shipping Company B"/>
    <s v="John Edwards"/>
    <s v="123 12th Street"/>
    <x v="0"/>
    <s v="NV"/>
    <n v="99999"/>
    <s v="USA"/>
    <s v="Credit Card"/>
    <x v="5"/>
    <x v="0"/>
    <n v="46"/>
    <n v="44"/>
    <x v="6"/>
    <n v="198.352"/>
  </r>
  <r>
    <n v="1008"/>
    <x v="3"/>
    <x v="3"/>
    <x v="3"/>
    <x v="3"/>
    <x v="2"/>
    <x v="2"/>
    <n v="99999"/>
    <s v="USA"/>
    <x v="2"/>
    <x v="2"/>
    <d v="2014-01-10T00:00:00"/>
    <s v="Shipping Company C"/>
    <s v="Elizabeth Andersen"/>
    <s v="123 8th Street"/>
    <x v="2"/>
    <s v="OR"/>
    <n v="99999"/>
    <s v="USA"/>
    <s v="Credit Card"/>
    <x v="6"/>
    <x v="2"/>
    <n v="9.1999999999999993"/>
    <n v="38"/>
    <x v="7"/>
    <n v="36.008800000000001"/>
  </r>
  <r>
    <n v="1009"/>
    <x v="1"/>
    <x v="1"/>
    <x v="1"/>
    <x v="1"/>
    <x v="1"/>
    <x v="1"/>
    <n v="99999"/>
    <s v="USA"/>
    <x v="1"/>
    <x v="1"/>
    <d v="2014-01-06T00:00:00"/>
    <s v="Shipping Company C"/>
    <s v="Christina Lee"/>
    <s v="123 4th Street"/>
    <x v="1"/>
    <s v="NY"/>
    <n v="99999"/>
    <s v="USA"/>
    <s v="Check"/>
    <x v="6"/>
    <x v="2"/>
    <n v="9.1999999999999993"/>
    <n v="88"/>
    <x v="8"/>
    <n v="79.340799999999987"/>
  </r>
  <r>
    <n v="1010"/>
    <x v="4"/>
    <x v="4"/>
    <x v="4"/>
    <x v="4"/>
    <x v="3"/>
    <x v="3"/>
    <n v="99999"/>
    <s v="USA"/>
    <x v="3"/>
    <x v="0"/>
    <d v="2014-01-31T00:00:00"/>
    <s v="Shipping Company B"/>
    <s v="Soo Jung Lee"/>
    <s v="789 29th Street"/>
    <x v="3"/>
    <s v="CO"/>
    <n v="99999"/>
    <s v="USA"/>
    <s v="Check"/>
    <x v="7"/>
    <x v="3"/>
    <n v="12.75"/>
    <n v="94"/>
    <x v="9"/>
    <n v="122.24700000000001"/>
  </r>
  <r>
    <n v="1011"/>
    <x v="5"/>
    <x v="5"/>
    <x v="5"/>
    <x v="5"/>
    <x v="4"/>
    <x v="4"/>
    <n v="99999"/>
    <s v="USA"/>
    <x v="0"/>
    <x v="0"/>
    <d v="2014-01-05T00:00:00"/>
    <s v="Shipping Company B"/>
    <s v="Thomas Axerr"/>
    <s v="123 3rd Street"/>
    <x v="4"/>
    <s v="CA"/>
    <n v="99999"/>
    <s v="USA"/>
    <s v="Cash"/>
    <x v="8"/>
    <x v="4"/>
    <n v="9.65"/>
    <n v="91"/>
    <x v="10"/>
    <n v="92.205749999999995"/>
  </r>
  <r>
    <n v="1012"/>
    <x v="6"/>
    <x v="6"/>
    <x v="6"/>
    <x v="6"/>
    <x v="5"/>
    <x v="5"/>
    <n v="99999"/>
    <s v="USA"/>
    <x v="4"/>
    <x v="2"/>
    <d v="2014-01-08T00:00:00"/>
    <s v="Shipping Company B"/>
    <s v="Francisco Pérez-Olaeta"/>
    <s v="123 6th Street"/>
    <x v="5"/>
    <s v="WI"/>
    <n v="99999"/>
    <s v="USA"/>
    <s v="Credit Card"/>
    <x v="9"/>
    <x v="5"/>
    <n v="40"/>
    <n v="32"/>
    <x v="11"/>
    <n v="133.12"/>
  </r>
  <r>
    <n v="1013"/>
    <x v="7"/>
    <x v="7"/>
    <x v="7"/>
    <x v="7"/>
    <x v="6"/>
    <x v="6"/>
    <n v="99999"/>
    <s v="USA"/>
    <x v="5"/>
    <x v="3"/>
    <d v="2014-01-30T00:00:00"/>
    <s v="Shipping Company C"/>
    <s v="Amritansh Raghav"/>
    <s v="789 28th Street"/>
    <x v="6"/>
    <s v="TN"/>
    <n v="99999"/>
    <s v="USA"/>
    <s v="Check"/>
    <x v="5"/>
    <x v="0"/>
    <n v="46"/>
    <n v="55"/>
    <x v="12"/>
    <n v="253"/>
  </r>
  <r>
    <n v="1014"/>
    <x v="3"/>
    <x v="3"/>
    <x v="3"/>
    <x v="3"/>
    <x v="2"/>
    <x v="2"/>
    <n v="99999"/>
    <s v="USA"/>
    <x v="2"/>
    <x v="2"/>
    <d v="2014-01-10T00:00:00"/>
    <s v="Shipping Company C"/>
    <s v="Elizabeth Andersen"/>
    <s v="123 8th Street"/>
    <x v="2"/>
    <s v="OR"/>
    <n v="99999"/>
    <s v="USA"/>
    <s v="Check"/>
    <x v="7"/>
    <x v="3"/>
    <n v="12.75"/>
    <n v="47"/>
    <x v="13"/>
    <n v="61.722750000000005"/>
  </r>
  <r>
    <n v="1015"/>
    <x v="8"/>
    <x v="8"/>
    <x v="8"/>
    <x v="8"/>
    <x v="7"/>
    <x v="7"/>
    <n v="99999"/>
    <s v="USA"/>
    <x v="6"/>
    <x v="1"/>
    <d v="2014-01-12T00:00:00"/>
    <s v="Shipping Company B"/>
    <s v="Roland Wacker"/>
    <s v="123 10th Street"/>
    <x v="7"/>
    <s v="IL"/>
    <n v="99999"/>
    <s v="USA"/>
    <s v="Credit Card"/>
    <x v="10"/>
    <x v="0"/>
    <n v="2.99"/>
    <n v="90"/>
    <x v="14"/>
    <n v="27.717300000000005"/>
  </r>
  <r>
    <n v="1016"/>
    <x v="9"/>
    <x v="9"/>
    <x v="9"/>
    <x v="9"/>
    <x v="8"/>
    <x v="8"/>
    <n v="99999"/>
    <s v="USA"/>
    <x v="2"/>
    <x v="2"/>
    <m/>
    <m/>
    <s v="Ming-Yang Xie"/>
    <s v="123 7th Street"/>
    <x v="8"/>
    <s v="ID"/>
    <n v="99999"/>
    <s v="USA"/>
    <m/>
    <x v="5"/>
    <x v="0"/>
    <n v="46"/>
    <n v="24"/>
    <x v="15"/>
    <n v="110.4"/>
  </r>
  <r>
    <n v="1017"/>
    <x v="8"/>
    <x v="8"/>
    <x v="8"/>
    <x v="8"/>
    <x v="7"/>
    <x v="7"/>
    <n v="99999"/>
    <s v="USA"/>
    <x v="6"/>
    <x v="1"/>
    <d v="2014-01-12T00:00:00"/>
    <s v="Shipping Company A"/>
    <s v="Roland Wacker"/>
    <s v="123 10th Street"/>
    <x v="7"/>
    <s v="IL"/>
    <n v="99999"/>
    <s v="USA"/>
    <m/>
    <x v="11"/>
    <x v="6"/>
    <n v="25"/>
    <n v="34"/>
    <x v="16"/>
    <n v="80.75"/>
  </r>
  <r>
    <n v="1018"/>
    <x v="8"/>
    <x v="8"/>
    <x v="8"/>
    <x v="8"/>
    <x v="7"/>
    <x v="7"/>
    <n v="99999"/>
    <s v="USA"/>
    <x v="6"/>
    <x v="1"/>
    <d v="2014-01-12T00:00:00"/>
    <s v="Shipping Company A"/>
    <s v="Roland Wacker"/>
    <s v="123 10th Street"/>
    <x v="7"/>
    <s v="IL"/>
    <n v="99999"/>
    <s v="USA"/>
    <m/>
    <x v="12"/>
    <x v="7"/>
    <n v="22"/>
    <n v="17"/>
    <x v="17"/>
    <n v="35.903999999999996"/>
  </r>
  <r>
    <n v="1019"/>
    <x v="8"/>
    <x v="8"/>
    <x v="8"/>
    <x v="8"/>
    <x v="7"/>
    <x v="7"/>
    <n v="99999"/>
    <s v="USA"/>
    <x v="6"/>
    <x v="1"/>
    <d v="2014-01-12T00:00:00"/>
    <s v="Shipping Company A"/>
    <s v="Roland Wacker"/>
    <s v="123 10th Street"/>
    <x v="7"/>
    <s v="IL"/>
    <n v="99999"/>
    <s v="USA"/>
    <m/>
    <x v="6"/>
    <x v="2"/>
    <n v="9.1999999999999993"/>
    <n v="44"/>
    <x v="18"/>
    <n v="42.099199999999996"/>
  </r>
  <r>
    <n v="1020"/>
    <x v="10"/>
    <x v="10"/>
    <x v="10"/>
    <x v="10"/>
    <x v="9"/>
    <x v="9"/>
    <n v="99999"/>
    <s v="USA"/>
    <x v="5"/>
    <x v="3"/>
    <m/>
    <s v="Shipping Company C"/>
    <s v="Peter Krschne"/>
    <s v="123 11th Street"/>
    <x v="9"/>
    <s v="FL"/>
    <n v="99999"/>
    <s v="USA"/>
    <m/>
    <x v="1"/>
    <x v="1"/>
    <n v="3.5"/>
    <n v="81"/>
    <x v="19"/>
    <n v="27.499500000000001"/>
  </r>
  <r>
    <n v="1021"/>
    <x v="10"/>
    <x v="10"/>
    <x v="10"/>
    <x v="10"/>
    <x v="9"/>
    <x v="9"/>
    <n v="99999"/>
    <s v="USA"/>
    <x v="5"/>
    <x v="3"/>
    <m/>
    <s v="Shipping Company C"/>
    <s v="Peter Krschne"/>
    <s v="123 11th Street"/>
    <x v="9"/>
    <s v="FL"/>
    <n v="99999"/>
    <s v="USA"/>
    <m/>
    <x v="10"/>
    <x v="0"/>
    <n v="2.99"/>
    <n v="49"/>
    <x v="20"/>
    <n v="15.090530000000005"/>
  </r>
  <r>
    <n v="1022"/>
    <x v="11"/>
    <x v="11"/>
    <x v="11"/>
    <x v="11"/>
    <x v="10"/>
    <x v="10"/>
    <n v="99999"/>
    <s v="USA"/>
    <x v="2"/>
    <x v="2"/>
    <m/>
    <m/>
    <s v="Anna Bedecs"/>
    <s v="123 1st Street"/>
    <x v="10"/>
    <s v="WA"/>
    <n v="99999"/>
    <s v="USA"/>
    <m/>
    <x v="4"/>
    <x v="0"/>
    <n v="18"/>
    <n v="42"/>
    <x v="21"/>
    <n v="75.600000000000009"/>
  </r>
  <r>
    <n v="1023"/>
    <x v="11"/>
    <x v="11"/>
    <x v="11"/>
    <x v="11"/>
    <x v="10"/>
    <x v="10"/>
    <n v="99999"/>
    <s v="USA"/>
    <x v="2"/>
    <x v="2"/>
    <m/>
    <m/>
    <s v="Anna Bedecs"/>
    <s v="123 1st Street"/>
    <x v="10"/>
    <s v="WA"/>
    <n v="99999"/>
    <s v="USA"/>
    <m/>
    <x v="5"/>
    <x v="0"/>
    <n v="46"/>
    <n v="58"/>
    <x v="22"/>
    <n v="269.46800000000002"/>
  </r>
  <r>
    <n v="1024"/>
    <x v="11"/>
    <x v="11"/>
    <x v="11"/>
    <x v="11"/>
    <x v="10"/>
    <x v="10"/>
    <n v="99999"/>
    <s v="USA"/>
    <x v="2"/>
    <x v="2"/>
    <m/>
    <m/>
    <s v="Anna Bedecs"/>
    <s v="123 1st Street"/>
    <x v="10"/>
    <s v="WA"/>
    <n v="99999"/>
    <s v="USA"/>
    <m/>
    <x v="10"/>
    <x v="0"/>
    <n v="2.99"/>
    <n v="67"/>
    <x v="23"/>
    <n v="20.033000000000001"/>
  </r>
  <r>
    <n v="1025"/>
    <x v="7"/>
    <x v="7"/>
    <x v="7"/>
    <x v="7"/>
    <x v="6"/>
    <x v="6"/>
    <n v="99999"/>
    <s v="USA"/>
    <x v="5"/>
    <x v="3"/>
    <d v="2014-01-30T00:00:00"/>
    <s v="Shipping Company C"/>
    <s v="Amritansh Raghav"/>
    <s v="789 28th Street"/>
    <x v="6"/>
    <s v="TN"/>
    <n v="99999"/>
    <s v="USA"/>
    <s v="Credit Card"/>
    <x v="8"/>
    <x v="4"/>
    <n v="9.65"/>
    <n v="100"/>
    <x v="24"/>
    <n v="93.605000000000004"/>
  </r>
  <r>
    <n v="1026"/>
    <x v="7"/>
    <x v="7"/>
    <x v="7"/>
    <x v="7"/>
    <x v="6"/>
    <x v="6"/>
    <n v="99999"/>
    <s v="USA"/>
    <x v="5"/>
    <x v="3"/>
    <d v="2014-01-30T00:00:00"/>
    <s v="Shipping Company C"/>
    <s v="Amritansh Raghav"/>
    <s v="789 28th Street"/>
    <x v="6"/>
    <s v="TN"/>
    <n v="99999"/>
    <s v="USA"/>
    <s v="Credit Card"/>
    <x v="13"/>
    <x v="8"/>
    <n v="18.399999999999999"/>
    <n v="63"/>
    <x v="25"/>
    <n v="114.76079999999999"/>
  </r>
  <r>
    <n v="1027"/>
    <x v="12"/>
    <x v="12"/>
    <x v="12"/>
    <x v="12"/>
    <x v="11"/>
    <x v="11"/>
    <n v="99999"/>
    <s v="USA"/>
    <x v="7"/>
    <x v="0"/>
    <d v="2014-01-11T00:00:00"/>
    <s v="Shipping Company A"/>
    <s v="Sven Mortensen"/>
    <s v="123 9th Street"/>
    <x v="11"/>
    <s v="UT"/>
    <n v="99999"/>
    <s v="USA"/>
    <s v="Check"/>
    <x v="14"/>
    <x v="9"/>
    <n v="19.5"/>
    <n v="57"/>
    <x v="26"/>
    <n v="110.0385"/>
  </r>
  <r>
    <n v="1028"/>
    <x v="12"/>
    <x v="12"/>
    <x v="12"/>
    <x v="12"/>
    <x v="11"/>
    <x v="11"/>
    <n v="99999"/>
    <s v="USA"/>
    <x v="7"/>
    <x v="0"/>
    <d v="2014-01-11T00:00:00"/>
    <s v="Shipping Company A"/>
    <s v="Sven Mortensen"/>
    <s v="123 9th Street"/>
    <x v="11"/>
    <s v="UT"/>
    <n v="99999"/>
    <s v="USA"/>
    <s v="Check"/>
    <x v="15"/>
    <x v="10"/>
    <n v="34.799999999999997"/>
    <n v="81"/>
    <x v="27"/>
    <n v="295.97399999999999"/>
  </r>
  <r>
    <n v="1029"/>
    <x v="6"/>
    <x v="6"/>
    <x v="6"/>
    <x v="6"/>
    <x v="5"/>
    <x v="5"/>
    <n v="99999"/>
    <s v="USA"/>
    <x v="4"/>
    <x v="2"/>
    <d v="2014-01-08T00:00:00"/>
    <s v="Shipping Company B"/>
    <s v="Francisco Pérez-Olaeta"/>
    <s v="123 6th Street"/>
    <x v="5"/>
    <s v="WI"/>
    <n v="99999"/>
    <s v="USA"/>
    <s v="Credit Card"/>
    <x v="0"/>
    <x v="0"/>
    <n v="14"/>
    <n v="71"/>
    <x v="28"/>
    <n v="95.424000000000007"/>
  </r>
  <r>
    <n v="1030"/>
    <x v="13"/>
    <x v="3"/>
    <x v="3"/>
    <x v="3"/>
    <x v="2"/>
    <x v="2"/>
    <n v="99999"/>
    <s v="USA"/>
    <x v="2"/>
    <x v="2"/>
    <d v="2014-02-10T00:00:00"/>
    <s v="Shipping Company B"/>
    <s v="Elizabeth Andersen"/>
    <s v="123 8th Street"/>
    <x v="2"/>
    <s v="OR"/>
    <n v="99999"/>
    <s v="USA"/>
    <s v="Check"/>
    <x v="9"/>
    <x v="5"/>
    <n v="40"/>
    <n v="32"/>
    <x v="11"/>
    <n v="129.28"/>
  </r>
  <r>
    <n v="1031"/>
    <x v="14"/>
    <x v="5"/>
    <x v="5"/>
    <x v="5"/>
    <x v="4"/>
    <x v="4"/>
    <n v="99999"/>
    <s v="USA"/>
    <x v="0"/>
    <x v="0"/>
    <d v="2014-02-05T00:00:00"/>
    <s v="Shipping Company B"/>
    <s v="Thomas Axerr"/>
    <s v="123 3rd Street"/>
    <x v="4"/>
    <s v="CA"/>
    <n v="99999"/>
    <s v="USA"/>
    <s v="Cash"/>
    <x v="16"/>
    <x v="7"/>
    <n v="10"/>
    <n v="63"/>
    <x v="29"/>
    <n v="65.52"/>
  </r>
  <r>
    <n v="1032"/>
    <x v="14"/>
    <x v="5"/>
    <x v="5"/>
    <x v="5"/>
    <x v="4"/>
    <x v="4"/>
    <n v="99999"/>
    <s v="USA"/>
    <x v="0"/>
    <x v="0"/>
    <d v="2014-02-05T00:00:00"/>
    <s v="Shipping Company B"/>
    <s v="Thomas Axerr"/>
    <s v="123 3rd Street"/>
    <x v="4"/>
    <s v="CA"/>
    <n v="99999"/>
    <s v="USA"/>
    <s v="Cash"/>
    <x v="9"/>
    <x v="5"/>
    <n v="40"/>
    <n v="30"/>
    <x v="30"/>
    <n v="120"/>
  </r>
  <r>
    <n v="1033"/>
    <x v="15"/>
    <x v="6"/>
    <x v="6"/>
    <x v="6"/>
    <x v="5"/>
    <x v="5"/>
    <n v="99999"/>
    <s v="USA"/>
    <x v="4"/>
    <x v="2"/>
    <d v="2014-02-08T00:00:00"/>
    <s v="Shipping Company B"/>
    <s v="Francisco Pérez-Olaeta"/>
    <s v="123 6th Street"/>
    <x v="5"/>
    <s v="WI"/>
    <n v="99999"/>
    <s v="USA"/>
    <s v="Credit Card"/>
    <x v="17"/>
    <x v="11"/>
    <m/>
    <m/>
    <x v="31"/>
    <n v="43"/>
  </r>
  <r>
    <n v="1034"/>
    <x v="16"/>
    <x v="7"/>
    <x v="7"/>
    <x v="7"/>
    <x v="6"/>
    <x v="6"/>
    <n v="99999"/>
    <s v="USA"/>
    <x v="5"/>
    <x v="3"/>
    <d v="2014-03-02T00:00:00"/>
    <s v="Shipping Company C"/>
    <s v="Amritansh Raghav"/>
    <s v="789 28th Street"/>
    <x v="6"/>
    <s v="TN"/>
    <n v="99999"/>
    <s v="USA"/>
    <s v="Check"/>
    <x v="17"/>
    <x v="11"/>
    <m/>
    <m/>
    <x v="31"/>
    <n v="31"/>
  </r>
  <r>
    <n v="1035"/>
    <x v="13"/>
    <x v="3"/>
    <x v="3"/>
    <x v="3"/>
    <x v="2"/>
    <x v="2"/>
    <n v="99999"/>
    <s v="USA"/>
    <x v="2"/>
    <x v="2"/>
    <d v="2014-02-10T00:00:00"/>
    <s v="Shipping Company C"/>
    <s v="Elizabeth Andersen"/>
    <s v="123 8th Street"/>
    <x v="2"/>
    <s v="OR"/>
    <n v="99999"/>
    <s v="USA"/>
    <s v="Check"/>
    <x v="17"/>
    <x v="11"/>
    <m/>
    <m/>
    <x v="31"/>
    <n v="46"/>
  </r>
  <r>
    <n v="1036"/>
    <x v="17"/>
    <x v="8"/>
    <x v="8"/>
    <x v="8"/>
    <x v="7"/>
    <x v="7"/>
    <n v="99999"/>
    <s v="USA"/>
    <x v="6"/>
    <x v="1"/>
    <d v="2014-02-12T00:00:00"/>
    <s v="Shipping Company B"/>
    <s v="Roland Wacker"/>
    <s v="123 10th Street"/>
    <x v="7"/>
    <s v="IL"/>
    <n v="99999"/>
    <s v="USA"/>
    <s v="Credit Card"/>
    <x v="18"/>
    <x v="1"/>
    <n v="10"/>
    <n v="47"/>
    <x v="32"/>
    <n v="48.88"/>
  </r>
  <r>
    <n v="1038"/>
    <x v="17"/>
    <x v="8"/>
    <x v="8"/>
    <x v="8"/>
    <x v="7"/>
    <x v="7"/>
    <n v="99999"/>
    <s v="USA"/>
    <x v="6"/>
    <x v="1"/>
    <m/>
    <s v="Shipping Company A"/>
    <s v="Roland Wacker"/>
    <s v="123 10th Street"/>
    <x v="7"/>
    <s v="IL"/>
    <n v="99999"/>
    <s v="USA"/>
    <m/>
    <x v="1"/>
    <x v="1"/>
    <n v="3.5"/>
    <n v="49"/>
    <x v="33"/>
    <n v="16.464000000000002"/>
  </r>
  <r>
    <n v="1039"/>
    <x v="18"/>
    <x v="10"/>
    <x v="10"/>
    <x v="10"/>
    <x v="9"/>
    <x v="9"/>
    <n v="99999"/>
    <s v="USA"/>
    <x v="5"/>
    <x v="3"/>
    <m/>
    <s v="Shipping Company C"/>
    <s v="Peter Krschne"/>
    <s v="123 11th Street"/>
    <x v="9"/>
    <s v="FL"/>
    <n v="99999"/>
    <s v="USA"/>
    <m/>
    <x v="9"/>
    <x v="5"/>
    <n v="40"/>
    <n v="72"/>
    <x v="34"/>
    <n v="285.12"/>
  </r>
  <r>
    <n v="1040"/>
    <x v="19"/>
    <x v="11"/>
    <x v="11"/>
    <x v="11"/>
    <x v="10"/>
    <x v="10"/>
    <n v="99999"/>
    <s v="USA"/>
    <x v="2"/>
    <x v="2"/>
    <m/>
    <s v="Shipping Company C"/>
    <s v="Anna Bedecs"/>
    <s v="123 1st Street"/>
    <x v="10"/>
    <s v="WA"/>
    <n v="99999"/>
    <s v="USA"/>
    <m/>
    <x v="13"/>
    <x v="8"/>
    <n v="18.399999999999999"/>
    <n v="13"/>
    <x v="35"/>
    <n v="23.680800000000001"/>
  </r>
  <r>
    <n v="1041"/>
    <x v="16"/>
    <x v="7"/>
    <x v="7"/>
    <x v="7"/>
    <x v="6"/>
    <x v="6"/>
    <n v="99999"/>
    <s v="USA"/>
    <x v="5"/>
    <x v="3"/>
    <n v="41700"/>
    <s v="Shipping Company C"/>
    <s v="Amritansh Raghav"/>
    <s v="789 28th Street"/>
    <x v="6"/>
    <s v="TN"/>
    <n v="99999"/>
    <s v="USA"/>
    <s v="Credit Card"/>
    <x v="5"/>
    <x v="0"/>
    <n v="46"/>
    <n v="32"/>
    <x v="36"/>
    <n v="148.67200000000003"/>
  </r>
  <r>
    <n v="1042"/>
    <x v="20"/>
    <x v="12"/>
    <x v="12"/>
    <x v="12"/>
    <x v="11"/>
    <x v="11"/>
    <n v="99999"/>
    <s v="USA"/>
    <x v="7"/>
    <x v="0"/>
    <d v="2014-02-11T00:00:00"/>
    <s v="Shipping Company A"/>
    <s v="Sven Mortensen"/>
    <s v="123 9th Street"/>
    <x v="11"/>
    <s v="UT"/>
    <n v="99999"/>
    <s v="USA"/>
    <s v="Check"/>
    <x v="8"/>
    <x v="4"/>
    <n v="9.65"/>
    <n v="27"/>
    <x v="37"/>
    <n v="24.752250000000004"/>
  </r>
  <r>
    <n v="1043"/>
    <x v="15"/>
    <x v="6"/>
    <x v="6"/>
    <x v="6"/>
    <x v="5"/>
    <x v="5"/>
    <n v="99999"/>
    <s v="USA"/>
    <x v="4"/>
    <x v="2"/>
    <d v="2014-02-08T00:00:00"/>
    <s v="Shipping Company B"/>
    <s v="Francisco Pérez-Olaeta"/>
    <s v="123 6th Street"/>
    <x v="5"/>
    <s v="WI"/>
    <n v="99999"/>
    <s v="USA"/>
    <s v="Credit Card"/>
    <x v="7"/>
    <x v="3"/>
    <n v="12.75"/>
    <n v="71"/>
    <x v="38"/>
    <n v="91.430250000000001"/>
  </r>
  <r>
    <n v="1044"/>
    <x v="13"/>
    <x v="3"/>
    <x v="3"/>
    <x v="3"/>
    <x v="2"/>
    <x v="2"/>
    <n v="99999"/>
    <s v="USA"/>
    <x v="2"/>
    <x v="2"/>
    <d v="2014-02-10T00:00:00"/>
    <s v="Shipping Company B"/>
    <s v="Elizabeth Andersen"/>
    <s v="123 8th Street"/>
    <x v="2"/>
    <s v="OR"/>
    <n v="99999"/>
    <s v="USA"/>
    <s v="Check"/>
    <x v="7"/>
    <x v="3"/>
    <n v="12.75"/>
    <n v="13"/>
    <x v="39"/>
    <n v="15.746249999999998"/>
  </r>
  <r>
    <n v="1045"/>
    <x v="21"/>
    <x v="13"/>
    <x v="13"/>
    <x v="13"/>
    <x v="7"/>
    <x v="7"/>
    <n v="99999"/>
    <s v="USA"/>
    <x v="6"/>
    <x v="1"/>
    <d v="2014-02-27T00:00:00"/>
    <s v="Shipping Company A"/>
    <s v="John Rodman"/>
    <s v="789 25th Street"/>
    <x v="7"/>
    <s v="IL"/>
    <n v="99999"/>
    <s v="USA"/>
    <s v="Cash"/>
    <x v="12"/>
    <x v="7"/>
    <n v="22"/>
    <n v="98"/>
    <x v="40"/>
    <n v="204.82000000000002"/>
  </r>
  <r>
    <n v="1046"/>
    <x v="22"/>
    <x v="14"/>
    <x v="14"/>
    <x v="14"/>
    <x v="9"/>
    <x v="9"/>
    <n v="99999"/>
    <s v="USA"/>
    <x v="5"/>
    <x v="3"/>
    <d v="2014-02-28T00:00:00"/>
    <s v="Shipping Company C"/>
    <s v="Run Liu"/>
    <s v="789 26th Street"/>
    <x v="9"/>
    <s v="FL"/>
    <n v="99999"/>
    <s v="USA"/>
    <s v="Credit Card"/>
    <x v="11"/>
    <x v="6"/>
    <n v="25"/>
    <n v="21"/>
    <x v="41"/>
    <n v="53.550000000000004"/>
  </r>
  <r>
    <n v="1047"/>
    <x v="23"/>
    <x v="4"/>
    <x v="4"/>
    <x v="4"/>
    <x v="3"/>
    <x v="3"/>
    <n v="99999"/>
    <s v="USA"/>
    <x v="3"/>
    <x v="0"/>
    <d v="2014-03-03T00:00:00"/>
    <s v="Shipping Company B"/>
    <s v="Soo Jung Lee"/>
    <s v="789 29th Street"/>
    <x v="3"/>
    <s v="CO"/>
    <n v="99999"/>
    <s v="USA"/>
    <s v="Check"/>
    <x v="19"/>
    <x v="12"/>
    <n v="39"/>
    <n v="26"/>
    <x v="42"/>
    <n v="106.47000000000001"/>
  </r>
  <r>
    <n v="1048"/>
    <x v="15"/>
    <x v="6"/>
    <x v="6"/>
    <x v="6"/>
    <x v="5"/>
    <x v="5"/>
    <n v="99999"/>
    <s v="USA"/>
    <x v="4"/>
    <x v="2"/>
    <d v="2014-02-08T00:00:00"/>
    <s v="Shipping Company C"/>
    <s v="Francisco Pérez-Olaeta"/>
    <s v="123 6th Street"/>
    <x v="5"/>
    <s v="WI"/>
    <n v="99999"/>
    <s v="USA"/>
    <s v="Check"/>
    <x v="2"/>
    <x v="1"/>
    <n v="30"/>
    <n v="96"/>
    <x v="34"/>
    <n v="296.64"/>
  </r>
  <r>
    <n v="1049"/>
    <x v="15"/>
    <x v="6"/>
    <x v="6"/>
    <x v="6"/>
    <x v="5"/>
    <x v="5"/>
    <n v="99999"/>
    <s v="USA"/>
    <x v="4"/>
    <x v="2"/>
    <d v="2014-02-08T00:00:00"/>
    <s v="Shipping Company C"/>
    <s v="Francisco Pérez-Olaeta"/>
    <s v="123 6th Street"/>
    <x v="5"/>
    <s v="WI"/>
    <n v="99999"/>
    <s v="USA"/>
    <s v="Check"/>
    <x v="3"/>
    <x v="1"/>
    <n v="53"/>
    <n v="16"/>
    <x v="43"/>
    <n v="88.192000000000021"/>
  </r>
  <r>
    <n v="1050"/>
    <x v="24"/>
    <x v="1"/>
    <x v="1"/>
    <x v="1"/>
    <x v="1"/>
    <x v="1"/>
    <n v="99999"/>
    <s v="USA"/>
    <x v="1"/>
    <x v="1"/>
    <m/>
    <m/>
    <s v="Christina Lee"/>
    <s v="123 4th Street"/>
    <x v="1"/>
    <s v="NY"/>
    <n v="99999"/>
    <s v="USA"/>
    <m/>
    <x v="20"/>
    <x v="9"/>
    <n v="38"/>
    <n v="96"/>
    <x v="44"/>
    <n v="346.56"/>
  </r>
  <r>
    <n v="1051"/>
    <x v="14"/>
    <x v="5"/>
    <x v="5"/>
    <x v="5"/>
    <x v="4"/>
    <x v="4"/>
    <n v="99999"/>
    <s v="USA"/>
    <x v="0"/>
    <x v="0"/>
    <m/>
    <m/>
    <s v="Thomas Axerr"/>
    <s v="123 3rd Street"/>
    <x v="4"/>
    <s v="CA"/>
    <n v="99999"/>
    <s v="USA"/>
    <m/>
    <x v="10"/>
    <x v="0"/>
    <n v="2.99"/>
    <n v="75"/>
    <x v="45"/>
    <n v="23.097750000000005"/>
  </r>
  <r>
    <n v="1052"/>
    <x v="25"/>
    <x v="12"/>
    <x v="12"/>
    <x v="12"/>
    <x v="11"/>
    <x v="11"/>
    <n v="99999"/>
    <s v="USA"/>
    <x v="7"/>
    <x v="0"/>
    <n v="41709"/>
    <s v="Shipping Company A"/>
    <s v="Sven Mortensen"/>
    <s v="123 9th Street"/>
    <x v="11"/>
    <s v="UT"/>
    <n v="99999"/>
    <s v="USA"/>
    <s v="Check"/>
    <x v="14"/>
    <x v="9"/>
    <n v="19.5"/>
    <n v="55"/>
    <x v="46"/>
    <n v="108.32250000000001"/>
  </r>
  <r>
    <n v="1053"/>
    <x v="25"/>
    <x v="12"/>
    <x v="12"/>
    <x v="12"/>
    <x v="11"/>
    <x v="11"/>
    <n v="99999"/>
    <s v="USA"/>
    <x v="7"/>
    <x v="0"/>
    <d v="2014-03-11T00:00:00"/>
    <s v="Shipping Company A"/>
    <s v="Sven Mortensen"/>
    <s v="123 9th Street"/>
    <x v="11"/>
    <s v="UT"/>
    <n v="99999"/>
    <s v="USA"/>
    <s v="Check"/>
    <x v="15"/>
    <x v="10"/>
    <n v="34.799999999999997"/>
    <n v="11"/>
    <x v="47"/>
    <n v="36.748799999999996"/>
  </r>
  <r>
    <n v="1054"/>
    <x v="26"/>
    <x v="6"/>
    <x v="6"/>
    <x v="6"/>
    <x v="5"/>
    <x v="5"/>
    <n v="99999"/>
    <s v="USA"/>
    <x v="4"/>
    <x v="2"/>
    <d v="2014-03-08T00:00:00"/>
    <s v="Shipping Company B"/>
    <s v="Francisco Pérez-Olaeta"/>
    <s v="123 6th Street"/>
    <x v="5"/>
    <s v="WI"/>
    <n v="99999"/>
    <s v="USA"/>
    <s v="Credit Card"/>
    <x v="0"/>
    <x v="0"/>
    <n v="14"/>
    <n v="53"/>
    <x v="48"/>
    <n v="71.974000000000004"/>
  </r>
  <r>
    <n v="1055"/>
    <x v="27"/>
    <x v="3"/>
    <x v="3"/>
    <x v="3"/>
    <x v="2"/>
    <x v="2"/>
    <n v="99999"/>
    <s v="USA"/>
    <x v="2"/>
    <x v="2"/>
    <d v="2014-03-10T00:00:00"/>
    <s v="Shipping Company B"/>
    <s v="Elizabeth Andersen"/>
    <s v="123 8th Street"/>
    <x v="2"/>
    <s v="OR"/>
    <n v="99999"/>
    <s v="USA"/>
    <s v="Check"/>
    <x v="9"/>
    <x v="5"/>
    <n v="40"/>
    <n v="85"/>
    <x v="49"/>
    <n v="357"/>
  </r>
  <r>
    <n v="1056"/>
    <x v="27"/>
    <x v="3"/>
    <x v="3"/>
    <x v="3"/>
    <x v="2"/>
    <x v="2"/>
    <n v="99999"/>
    <s v="USA"/>
    <x v="2"/>
    <x v="2"/>
    <d v="2014-03-10T00:00:00"/>
    <s v="Shipping Company B"/>
    <s v="Elizabeth Andersen"/>
    <s v="123 8th Street"/>
    <x v="2"/>
    <s v="OR"/>
    <n v="99999"/>
    <s v="USA"/>
    <s v="Check"/>
    <x v="6"/>
    <x v="2"/>
    <n v="9.1999999999999993"/>
    <n v="97"/>
    <x v="50"/>
    <n v="91.024800000000013"/>
  </r>
  <r>
    <n v="1057"/>
    <x v="28"/>
    <x v="13"/>
    <x v="13"/>
    <x v="13"/>
    <x v="7"/>
    <x v="7"/>
    <n v="99999"/>
    <s v="USA"/>
    <x v="6"/>
    <x v="1"/>
    <d v="2014-03-27T00:00:00"/>
    <s v="Shipping Company A"/>
    <s v="John Rodman"/>
    <s v="789 25th Street"/>
    <x v="7"/>
    <s v="IL"/>
    <n v="99999"/>
    <s v="USA"/>
    <s v="Cash"/>
    <x v="21"/>
    <x v="2"/>
    <n v="10"/>
    <n v="46"/>
    <x v="51"/>
    <n v="46.46"/>
  </r>
  <r>
    <n v="1058"/>
    <x v="29"/>
    <x v="14"/>
    <x v="14"/>
    <x v="14"/>
    <x v="9"/>
    <x v="9"/>
    <n v="99999"/>
    <s v="USA"/>
    <x v="5"/>
    <x v="3"/>
    <d v="2014-03-28T00:00:00"/>
    <s v="Shipping Company C"/>
    <s v="Run Liu"/>
    <s v="789 26th Street"/>
    <x v="9"/>
    <s v="FL"/>
    <n v="99999"/>
    <s v="USA"/>
    <s v="Credit Card"/>
    <x v="22"/>
    <x v="13"/>
    <n v="21.35"/>
    <n v="97"/>
    <x v="52"/>
    <n v="196.74025"/>
  </r>
  <r>
    <n v="1059"/>
    <x v="29"/>
    <x v="14"/>
    <x v="14"/>
    <x v="14"/>
    <x v="9"/>
    <x v="9"/>
    <n v="99999"/>
    <s v="USA"/>
    <x v="5"/>
    <x v="3"/>
    <d v="2014-03-28T00:00:00"/>
    <s v="Shipping Company C"/>
    <s v="Run Liu"/>
    <s v="789 26th Street"/>
    <x v="9"/>
    <s v="FL"/>
    <n v="99999"/>
    <s v="USA"/>
    <s v="Credit Card"/>
    <x v="8"/>
    <x v="4"/>
    <n v="9.65"/>
    <n v="97"/>
    <x v="53"/>
    <n v="95.477100000000021"/>
  </r>
  <r>
    <n v="1060"/>
    <x v="29"/>
    <x v="14"/>
    <x v="14"/>
    <x v="14"/>
    <x v="9"/>
    <x v="9"/>
    <n v="99999"/>
    <s v="USA"/>
    <x v="5"/>
    <x v="3"/>
    <d v="2014-03-28T00:00:00"/>
    <s v="Shipping Company C"/>
    <s v="Run Liu"/>
    <s v="789 26th Street"/>
    <x v="9"/>
    <s v="FL"/>
    <n v="99999"/>
    <s v="USA"/>
    <s v="Credit Card"/>
    <x v="13"/>
    <x v="8"/>
    <n v="18.399999999999999"/>
    <n v="65"/>
    <x v="54"/>
    <n v="123.18800000000002"/>
  </r>
  <r>
    <n v="1061"/>
    <x v="30"/>
    <x v="4"/>
    <x v="4"/>
    <x v="4"/>
    <x v="3"/>
    <x v="3"/>
    <n v="99999"/>
    <s v="USA"/>
    <x v="3"/>
    <x v="0"/>
    <d v="2014-03-31T00:00:00"/>
    <s v="Shipping Company B"/>
    <s v="Soo Jung Lee"/>
    <s v="789 29th Street"/>
    <x v="3"/>
    <s v="CO"/>
    <n v="99999"/>
    <s v="USA"/>
    <s v="Check"/>
    <x v="0"/>
    <x v="0"/>
    <n v="14"/>
    <n v="72"/>
    <x v="55"/>
    <n v="100.80000000000001"/>
  </r>
  <r>
    <n v="1062"/>
    <x v="26"/>
    <x v="6"/>
    <x v="6"/>
    <x v="6"/>
    <x v="5"/>
    <x v="5"/>
    <n v="99999"/>
    <s v="USA"/>
    <x v="4"/>
    <x v="2"/>
    <d v="2014-03-08T00:00:00"/>
    <s v="Shipping Company C"/>
    <s v="Francisco Pérez-Olaeta"/>
    <s v="123 6th Street"/>
    <x v="5"/>
    <s v="WI"/>
    <n v="99999"/>
    <s v="USA"/>
    <s v="Check"/>
    <x v="7"/>
    <x v="3"/>
    <n v="12.75"/>
    <n v="16"/>
    <x v="56"/>
    <n v="20.196000000000002"/>
  </r>
  <r>
    <n v="1064"/>
    <x v="31"/>
    <x v="1"/>
    <x v="1"/>
    <x v="1"/>
    <x v="1"/>
    <x v="1"/>
    <n v="99999"/>
    <s v="USA"/>
    <x v="1"/>
    <x v="1"/>
    <d v="2014-03-06T00:00:00"/>
    <s v="Shipping Company A"/>
    <s v="Christina Lee"/>
    <s v="123 4th Street"/>
    <x v="1"/>
    <s v="NY"/>
    <n v="99999"/>
    <s v="USA"/>
    <s v="Credit Card"/>
    <x v="23"/>
    <x v="6"/>
    <n v="81"/>
    <n v="77"/>
    <x v="57"/>
    <n v="642.41100000000006"/>
  </r>
  <r>
    <n v="1065"/>
    <x v="31"/>
    <x v="1"/>
    <x v="1"/>
    <x v="1"/>
    <x v="1"/>
    <x v="1"/>
    <n v="99999"/>
    <s v="USA"/>
    <x v="1"/>
    <x v="1"/>
    <d v="2014-03-06T00:00:00"/>
    <s v="Shipping Company A"/>
    <s v="Christina Lee"/>
    <s v="123 4th Street"/>
    <x v="1"/>
    <s v="NY"/>
    <n v="99999"/>
    <s v="USA"/>
    <s v="Credit Card"/>
    <x v="24"/>
    <x v="14"/>
    <n v="7"/>
    <n v="37"/>
    <x v="58"/>
    <n v="24.605"/>
  </r>
  <r>
    <n v="1067"/>
    <x v="27"/>
    <x v="3"/>
    <x v="3"/>
    <x v="3"/>
    <x v="2"/>
    <x v="2"/>
    <n v="99999"/>
    <s v="USA"/>
    <x v="2"/>
    <x v="2"/>
    <d v="2014-03-10T00:00:00"/>
    <s v="Shipping Company C"/>
    <s v="Elizabeth Andersen"/>
    <s v="123 8th Street"/>
    <x v="2"/>
    <s v="OR"/>
    <n v="99999"/>
    <s v="USA"/>
    <s v="Credit Card"/>
    <x v="15"/>
    <x v="10"/>
    <n v="34.799999999999997"/>
    <n v="63"/>
    <x v="59"/>
    <n v="217.04759999999999"/>
  </r>
  <r>
    <n v="1070"/>
    <x v="32"/>
    <x v="5"/>
    <x v="5"/>
    <x v="5"/>
    <x v="4"/>
    <x v="4"/>
    <n v="99999"/>
    <s v="USA"/>
    <x v="0"/>
    <x v="0"/>
    <d v="2014-03-05T00:00:00"/>
    <s v="Shipping Company B"/>
    <s v="Thomas Axerr"/>
    <s v="123 3rd Street"/>
    <x v="4"/>
    <s v="CA"/>
    <n v="99999"/>
    <s v="USA"/>
    <s v="Cash"/>
    <x v="16"/>
    <x v="7"/>
    <n v="10"/>
    <n v="48"/>
    <x v="60"/>
    <n v="48"/>
  </r>
  <r>
    <n v="1071"/>
    <x v="32"/>
    <x v="5"/>
    <x v="5"/>
    <x v="5"/>
    <x v="4"/>
    <x v="4"/>
    <n v="99999"/>
    <s v="USA"/>
    <x v="0"/>
    <x v="0"/>
    <d v="2014-03-05T00:00:00"/>
    <s v="Shipping Company B"/>
    <s v="Thomas Axerr"/>
    <s v="123 3rd Street"/>
    <x v="4"/>
    <s v="CA"/>
    <n v="99999"/>
    <s v="USA"/>
    <s v="Cash"/>
    <x v="9"/>
    <x v="5"/>
    <n v="40"/>
    <n v="71"/>
    <x v="61"/>
    <n v="295.36"/>
  </r>
  <r>
    <n v="1075"/>
    <x v="33"/>
    <x v="8"/>
    <x v="8"/>
    <x v="8"/>
    <x v="7"/>
    <x v="7"/>
    <n v="99999"/>
    <s v="USA"/>
    <x v="6"/>
    <x v="1"/>
    <d v="2014-03-12T00:00:00"/>
    <s v="Shipping Company B"/>
    <s v="Roland Wacker"/>
    <s v="123 10th Street"/>
    <x v="7"/>
    <s v="IL"/>
    <n v="99999"/>
    <s v="USA"/>
    <s v="Credit Card"/>
    <x v="18"/>
    <x v="1"/>
    <n v="10"/>
    <n v="55"/>
    <x v="62"/>
    <n v="55"/>
  </r>
  <r>
    <n v="1077"/>
    <x v="33"/>
    <x v="8"/>
    <x v="8"/>
    <x v="8"/>
    <x v="7"/>
    <x v="7"/>
    <n v="99999"/>
    <s v="USA"/>
    <x v="6"/>
    <x v="1"/>
    <m/>
    <s v="Shipping Company A"/>
    <s v="Roland Wacker"/>
    <s v="123 10th Street"/>
    <x v="7"/>
    <s v="IL"/>
    <n v="99999"/>
    <s v="USA"/>
    <m/>
    <x v="1"/>
    <x v="1"/>
    <n v="3.5"/>
    <n v="21"/>
    <x v="63"/>
    <n v="7.3500000000000005"/>
  </r>
  <r>
    <n v="1078"/>
    <x v="34"/>
    <x v="10"/>
    <x v="10"/>
    <x v="10"/>
    <x v="9"/>
    <x v="9"/>
    <n v="99999"/>
    <s v="USA"/>
    <x v="5"/>
    <x v="3"/>
    <m/>
    <s v="Shipping Company C"/>
    <s v="Peter Krschne"/>
    <s v="123 11th Street"/>
    <x v="9"/>
    <s v="FL"/>
    <n v="99999"/>
    <s v="USA"/>
    <m/>
    <x v="9"/>
    <x v="5"/>
    <n v="40"/>
    <n v="67"/>
    <x v="64"/>
    <n v="270.68"/>
  </r>
  <r>
    <n v="1079"/>
    <x v="23"/>
    <x v="11"/>
    <x v="11"/>
    <x v="11"/>
    <x v="10"/>
    <x v="10"/>
    <n v="99999"/>
    <s v="USA"/>
    <x v="2"/>
    <x v="2"/>
    <m/>
    <s v="Shipping Company C"/>
    <s v="Anna Bedecs"/>
    <s v="123 1st Street"/>
    <x v="10"/>
    <s v="WA"/>
    <n v="99999"/>
    <s v="USA"/>
    <m/>
    <x v="13"/>
    <x v="8"/>
    <n v="18.399999999999999"/>
    <n v="75"/>
    <x v="65"/>
    <n v="138"/>
  </r>
  <r>
    <n v="1080"/>
    <x v="35"/>
    <x v="7"/>
    <x v="7"/>
    <x v="7"/>
    <x v="6"/>
    <x v="6"/>
    <n v="99999"/>
    <s v="USA"/>
    <x v="5"/>
    <x v="3"/>
    <d v="2014-03-30T00:00:00"/>
    <s v="Shipping Company C"/>
    <s v="Amritansh Raghav"/>
    <s v="789 28th Street"/>
    <x v="6"/>
    <s v="TN"/>
    <n v="99999"/>
    <s v="USA"/>
    <s v="Credit Card"/>
    <x v="5"/>
    <x v="0"/>
    <n v="46"/>
    <n v="17"/>
    <x v="66"/>
    <n v="80.546000000000006"/>
  </r>
  <r>
    <n v="1081"/>
    <x v="36"/>
    <x v="1"/>
    <x v="1"/>
    <x v="1"/>
    <x v="1"/>
    <x v="1"/>
    <n v="99999"/>
    <s v="USA"/>
    <x v="1"/>
    <x v="1"/>
    <d v="2014-04-06T00:00:00"/>
    <s v="Shipping Company A"/>
    <s v="Christina Lee"/>
    <s v="123 4th Street"/>
    <x v="1"/>
    <s v="NY"/>
    <n v="99999"/>
    <s v="USA"/>
    <s v="Credit Card"/>
    <x v="1"/>
    <x v="1"/>
    <n v="3.5"/>
    <n v="48"/>
    <x v="67"/>
    <n v="16.295999999999999"/>
  </r>
  <r>
    <n v="1082"/>
    <x v="37"/>
    <x v="2"/>
    <x v="2"/>
    <x v="2"/>
    <x v="0"/>
    <x v="0"/>
    <n v="99999"/>
    <s v="USA"/>
    <x v="0"/>
    <x v="0"/>
    <d v="2014-04-14T00:00:00"/>
    <s v="Shipping Company B"/>
    <s v="John Edwards"/>
    <s v="123 12th Street"/>
    <x v="0"/>
    <s v="NV"/>
    <n v="99999"/>
    <s v="USA"/>
    <s v="Credit Card"/>
    <x v="4"/>
    <x v="0"/>
    <n v="18"/>
    <n v="74"/>
    <x v="68"/>
    <n v="137.19600000000003"/>
  </r>
  <r>
    <n v="1083"/>
    <x v="37"/>
    <x v="2"/>
    <x v="2"/>
    <x v="2"/>
    <x v="0"/>
    <x v="0"/>
    <n v="99999"/>
    <s v="USA"/>
    <x v="0"/>
    <x v="0"/>
    <d v="2014-04-14T00:00:00"/>
    <s v="Shipping Company B"/>
    <s v="John Edwards"/>
    <s v="123 12th Street"/>
    <x v="0"/>
    <s v="NV"/>
    <n v="99999"/>
    <s v="USA"/>
    <s v="Credit Card"/>
    <x v="5"/>
    <x v="0"/>
    <n v="46"/>
    <n v="96"/>
    <x v="69"/>
    <n v="428.35200000000003"/>
  </r>
  <r>
    <n v="1084"/>
    <x v="38"/>
    <x v="3"/>
    <x v="3"/>
    <x v="3"/>
    <x v="2"/>
    <x v="2"/>
    <n v="99999"/>
    <s v="USA"/>
    <x v="2"/>
    <x v="2"/>
    <d v="2014-04-10T00:00:00"/>
    <s v="Shipping Company C"/>
    <s v="Elizabeth Andersen"/>
    <s v="123 8th Street"/>
    <x v="2"/>
    <s v="OR"/>
    <n v="99999"/>
    <s v="USA"/>
    <s v="Credit Card"/>
    <x v="6"/>
    <x v="2"/>
    <n v="9.1999999999999993"/>
    <n v="12"/>
    <x v="70"/>
    <n v="11.3712"/>
  </r>
  <r>
    <n v="1085"/>
    <x v="36"/>
    <x v="1"/>
    <x v="1"/>
    <x v="1"/>
    <x v="1"/>
    <x v="1"/>
    <n v="99999"/>
    <s v="USA"/>
    <x v="1"/>
    <x v="1"/>
    <n v="41735"/>
    <s v="Shipping Company C"/>
    <s v="Christina Lee"/>
    <s v="123 4th Street"/>
    <x v="1"/>
    <s v="NY"/>
    <n v="99999"/>
    <s v="USA"/>
    <s v="Check"/>
    <x v="6"/>
    <x v="2"/>
    <n v="9.1999999999999993"/>
    <n v="62"/>
    <x v="71"/>
    <n v="58.751199999999997"/>
  </r>
  <r>
    <n v="1086"/>
    <x v="39"/>
    <x v="4"/>
    <x v="4"/>
    <x v="4"/>
    <x v="3"/>
    <x v="3"/>
    <n v="99999"/>
    <s v="USA"/>
    <x v="3"/>
    <x v="0"/>
    <n v="41760"/>
    <s v="Shipping Company B"/>
    <s v="Soo Jung Lee"/>
    <s v="789 29th Street"/>
    <x v="3"/>
    <s v="CO"/>
    <n v="99999"/>
    <s v="USA"/>
    <s v="Check"/>
    <x v="7"/>
    <x v="3"/>
    <n v="12.75"/>
    <n v="35"/>
    <x v="72"/>
    <n v="45.963750000000005"/>
  </r>
  <r>
    <n v="1087"/>
    <x v="40"/>
    <x v="5"/>
    <x v="5"/>
    <x v="5"/>
    <x v="4"/>
    <x v="4"/>
    <n v="99999"/>
    <s v="USA"/>
    <x v="0"/>
    <x v="0"/>
    <n v="41734"/>
    <s v="Shipping Company B"/>
    <s v="Thomas Axerr"/>
    <s v="123 3rd Street"/>
    <x v="4"/>
    <s v="CA"/>
    <n v="99999"/>
    <s v="USA"/>
    <s v="Cash"/>
    <x v="8"/>
    <x v="4"/>
    <n v="9.65"/>
    <n v="95"/>
    <x v="73"/>
    <n v="91.675000000000011"/>
  </r>
  <r>
    <n v="1088"/>
    <x v="41"/>
    <x v="6"/>
    <x v="6"/>
    <x v="6"/>
    <x v="5"/>
    <x v="5"/>
    <n v="99999"/>
    <s v="USA"/>
    <x v="4"/>
    <x v="2"/>
    <n v="41737"/>
    <s v="Shipping Company B"/>
    <s v="Francisco Pérez-Olaeta"/>
    <s v="123 6th Street"/>
    <x v="5"/>
    <s v="WI"/>
    <n v="99999"/>
    <s v="USA"/>
    <s v="Credit Card"/>
    <x v="9"/>
    <x v="5"/>
    <n v="40"/>
    <n v="17"/>
    <x v="74"/>
    <n v="68.680000000000007"/>
  </r>
  <r>
    <n v="1089"/>
    <x v="42"/>
    <x v="7"/>
    <x v="7"/>
    <x v="7"/>
    <x v="6"/>
    <x v="6"/>
    <n v="99999"/>
    <s v="USA"/>
    <x v="5"/>
    <x v="3"/>
    <d v="2014-04-30T00:00:00"/>
    <s v="Shipping Company C"/>
    <s v="Amritansh Raghav"/>
    <s v="789 28th Street"/>
    <x v="6"/>
    <s v="TN"/>
    <n v="99999"/>
    <s v="USA"/>
    <s v="Check"/>
    <x v="5"/>
    <x v="0"/>
    <n v="46"/>
    <n v="96"/>
    <x v="69"/>
    <n v="463.68000000000006"/>
  </r>
  <r>
    <n v="1090"/>
    <x v="38"/>
    <x v="3"/>
    <x v="3"/>
    <x v="3"/>
    <x v="2"/>
    <x v="2"/>
    <n v="99999"/>
    <s v="USA"/>
    <x v="2"/>
    <x v="2"/>
    <d v="2014-04-10T00:00:00"/>
    <s v="Shipping Company C"/>
    <s v="Elizabeth Andersen"/>
    <s v="123 8th Street"/>
    <x v="2"/>
    <s v="OR"/>
    <n v="99999"/>
    <s v="USA"/>
    <s v="Check"/>
    <x v="7"/>
    <x v="3"/>
    <n v="12.75"/>
    <n v="83"/>
    <x v="75"/>
    <n v="102.65025"/>
  </r>
  <r>
    <n v="1091"/>
    <x v="43"/>
    <x v="8"/>
    <x v="8"/>
    <x v="8"/>
    <x v="7"/>
    <x v="7"/>
    <n v="99999"/>
    <s v="USA"/>
    <x v="6"/>
    <x v="1"/>
    <d v="2014-04-12T00:00:00"/>
    <s v="Shipping Company B"/>
    <s v="Roland Wacker"/>
    <s v="123 10th Street"/>
    <x v="7"/>
    <s v="IL"/>
    <n v="99999"/>
    <s v="USA"/>
    <s v="Credit Card"/>
    <x v="10"/>
    <x v="0"/>
    <n v="2.99"/>
    <n v="88"/>
    <x v="76"/>
    <n v="26.04888"/>
  </r>
  <r>
    <n v="1092"/>
    <x v="44"/>
    <x v="9"/>
    <x v="9"/>
    <x v="9"/>
    <x v="8"/>
    <x v="8"/>
    <n v="99999"/>
    <s v="USA"/>
    <x v="2"/>
    <x v="2"/>
    <m/>
    <m/>
    <s v="Ming-Yang Xie"/>
    <s v="123 7th Street"/>
    <x v="8"/>
    <s v="ID"/>
    <n v="99999"/>
    <s v="USA"/>
    <m/>
    <x v="5"/>
    <x v="0"/>
    <n v="46"/>
    <n v="59"/>
    <x v="77"/>
    <n v="284.97000000000003"/>
  </r>
  <r>
    <n v="1093"/>
    <x v="43"/>
    <x v="8"/>
    <x v="8"/>
    <x v="8"/>
    <x v="7"/>
    <x v="7"/>
    <n v="99999"/>
    <s v="USA"/>
    <x v="6"/>
    <x v="1"/>
    <d v="2014-04-12T00:00:00"/>
    <s v="Shipping Company A"/>
    <s v="Roland Wacker"/>
    <s v="123 10th Street"/>
    <x v="7"/>
    <s v="IL"/>
    <n v="99999"/>
    <s v="USA"/>
    <m/>
    <x v="11"/>
    <x v="6"/>
    <n v="25"/>
    <n v="27"/>
    <x v="78"/>
    <n v="68.849999999999994"/>
  </r>
  <r>
    <n v="1094"/>
    <x v="43"/>
    <x v="8"/>
    <x v="8"/>
    <x v="8"/>
    <x v="7"/>
    <x v="7"/>
    <n v="99999"/>
    <s v="USA"/>
    <x v="6"/>
    <x v="1"/>
    <d v="2014-04-12T00:00:00"/>
    <s v="Shipping Company A"/>
    <s v="Roland Wacker"/>
    <s v="123 10th Street"/>
    <x v="7"/>
    <s v="IL"/>
    <n v="99999"/>
    <s v="USA"/>
    <m/>
    <x v="12"/>
    <x v="7"/>
    <n v="22"/>
    <n v="37"/>
    <x v="79"/>
    <n v="85.470000000000013"/>
  </r>
  <r>
    <n v="1095"/>
    <x v="43"/>
    <x v="8"/>
    <x v="8"/>
    <x v="8"/>
    <x v="7"/>
    <x v="7"/>
    <n v="99999"/>
    <s v="USA"/>
    <x v="6"/>
    <x v="1"/>
    <d v="2014-04-12T00:00:00"/>
    <s v="Shipping Company A"/>
    <s v="Roland Wacker"/>
    <s v="123 10th Street"/>
    <x v="7"/>
    <s v="IL"/>
    <n v="99999"/>
    <s v="USA"/>
    <m/>
    <x v="6"/>
    <x v="2"/>
    <n v="9.1999999999999993"/>
    <n v="75"/>
    <x v="80"/>
    <n v="69"/>
  </r>
  <r>
    <n v="1096"/>
    <x v="45"/>
    <x v="10"/>
    <x v="10"/>
    <x v="10"/>
    <x v="9"/>
    <x v="9"/>
    <n v="99999"/>
    <s v="USA"/>
    <x v="5"/>
    <x v="3"/>
    <m/>
    <s v="Shipping Company C"/>
    <s v="Peter Krschne"/>
    <s v="123 11th Street"/>
    <x v="9"/>
    <s v="FL"/>
    <n v="99999"/>
    <s v="USA"/>
    <m/>
    <x v="1"/>
    <x v="1"/>
    <n v="3.5"/>
    <n v="71"/>
    <x v="81"/>
    <n v="24.104500000000002"/>
  </r>
  <r>
    <n v="1097"/>
    <x v="45"/>
    <x v="10"/>
    <x v="10"/>
    <x v="10"/>
    <x v="9"/>
    <x v="9"/>
    <n v="99999"/>
    <s v="USA"/>
    <x v="5"/>
    <x v="3"/>
    <m/>
    <s v="Shipping Company C"/>
    <s v="Peter Krschne"/>
    <s v="123 11th Street"/>
    <x v="9"/>
    <s v="FL"/>
    <n v="99999"/>
    <s v="USA"/>
    <m/>
    <x v="10"/>
    <x v="0"/>
    <n v="2.99"/>
    <n v="88"/>
    <x v="76"/>
    <n v="26.04888"/>
  </r>
  <r>
    <n v="1098"/>
    <x v="46"/>
    <x v="11"/>
    <x v="11"/>
    <x v="11"/>
    <x v="10"/>
    <x v="10"/>
    <n v="99999"/>
    <s v="USA"/>
    <x v="2"/>
    <x v="2"/>
    <m/>
    <m/>
    <s v="Anna Bedecs"/>
    <s v="123 1st Street"/>
    <x v="10"/>
    <s v="WA"/>
    <n v="99999"/>
    <s v="USA"/>
    <m/>
    <x v="4"/>
    <x v="0"/>
    <n v="18"/>
    <n v="55"/>
    <x v="82"/>
    <n v="97.02"/>
  </r>
  <r>
    <n v="1099"/>
    <x v="47"/>
    <x v="4"/>
    <x v="4"/>
    <x v="4"/>
    <x v="3"/>
    <x v="3"/>
    <n v="99999"/>
    <s v="USA"/>
    <x v="3"/>
    <x v="0"/>
    <d v="2014-05-31T00:00:00"/>
    <s v="Shipping Company B"/>
    <s v="Soo Jung Lee"/>
    <s v="789 29th Street"/>
    <x v="3"/>
    <s v="CO"/>
    <n v="99999"/>
    <s v="USA"/>
    <s v="Check"/>
    <x v="7"/>
    <x v="3"/>
    <n v="12.75"/>
    <n v="14"/>
    <x v="83"/>
    <n v="16.9575"/>
  </r>
  <r>
    <n v="1100"/>
    <x v="48"/>
    <x v="5"/>
    <x v="5"/>
    <x v="5"/>
    <x v="4"/>
    <x v="4"/>
    <n v="99999"/>
    <s v="USA"/>
    <x v="0"/>
    <x v="0"/>
    <d v="2014-05-05T00:00:00"/>
    <s v="Shipping Company B"/>
    <s v="Thomas Axerr"/>
    <s v="123 3rd Street"/>
    <x v="4"/>
    <s v="CA"/>
    <n v="99999"/>
    <s v="USA"/>
    <s v="Cash"/>
    <x v="8"/>
    <x v="4"/>
    <n v="9.65"/>
    <n v="43"/>
    <x v="84"/>
    <n v="42.324900000000007"/>
  </r>
  <r>
    <n v="1101"/>
    <x v="49"/>
    <x v="6"/>
    <x v="6"/>
    <x v="6"/>
    <x v="5"/>
    <x v="5"/>
    <n v="99999"/>
    <s v="USA"/>
    <x v="4"/>
    <x v="2"/>
    <n v="41767"/>
    <s v="Shipping Company B"/>
    <s v="Francisco Pérez-Olaeta"/>
    <s v="123 6th Street"/>
    <x v="5"/>
    <s v="WI"/>
    <n v="99999"/>
    <s v="USA"/>
    <s v="Credit Card"/>
    <x v="9"/>
    <x v="5"/>
    <n v="40"/>
    <n v="63"/>
    <x v="85"/>
    <n v="254.52"/>
  </r>
  <r>
    <n v="1102"/>
    <x v="50"/>
    <x v="7"/>
    <x v="7"/>
    <x v="7"/>
    <x v="6"/>
    <x v="6"/>
    <n v="99999"/>
    <s v="USA"/>
    <x v="5"/>
    <x v="3"/>
    <d v="2014-05-30T00:00:00"/>
    <s v="Shipping Company C"/>
    <s v="Amritansh Raghav"/>
    <s v="789 28th Street"/>
    <x v="6"/>
    <s v="TN"/>
    <n v="99999"/>
    <s v="USA"/>
    <s v="Check"/>
    <x v="5"/>
    <x v="0"/>
    <n v="46"/>
    <n v="36"/>
    <x v="86"/>
    <n v="165.60000000000002"/>
  </r>
  <r>
    <n v="1103"/>
    <x v="51"/>
    <x v="3"/>
    <x v="3"/>
    <x v="3"/>
    <x v="2"/>
    <x v="2"/>
    <n v="99999"/>
    <s v="USA"/>
    <x v="2"/>
    <x v="2"/>
    <d v="2014-05-10T00:00:00"/>
    <s v="Shipping Company C"/>
    <s v="Elizabeth Andersen"/>
    <s v="123 8th Street"/>
    <x v="2"/>
    <s v="OR"/>
    <n v="99999"/>
    <s v="USA"/>
    <s v="Check"/>
    <x v="7"/>
    <x v="3"/>
    <n v="12.75"/>
    <n v="41"/>
    <x v="87"/>
    <n v="54.366000000000007"/>
  </r>
  <r>
    <n v="1104"/>
    <x v="52"/>
    <x v="8"/>
    <x v="8"/>
    <x v="8"/>
    <x v="7"/>
    <x v="7"/>
    <n v="99999"/>
    <s v="USA"/>
    <x v="6"/>
    <x v="1"/>
    <d v="2014-05-12T00:00:00"/>
    <s v="Shipping Company B"/>
    <s v="Roland Wacker"/>
    <s v="123 10th Street"/>
    <x v="7"/>
    <s v="IL"/>
    <n v="99999"/>
    <s v="USA"/>
    <s v="Credit Card"/>
    <x v="10"/>
    <x v="0"/>
    <n v="2.99"/>
    <n v="35"/>
    <x v="88"/>
    <n v="10.255700000000001"/>
  </r>
  <r>
    <n v="1105"/>
    <x v="53"/>
    <x v="9"/>
    <x v="9"/>
    <x v="9"/>
    <x v="8"/>
    <x v="8"/>
    <n v="99999"/>
    <s v="USA"/>
    <x v="2"/>
    <x v="2"/>
    <m/>
    <m/>
    <s v="Ming-Yang Xie"/>
    <s v="123 7th Street"/>
    <x v="8"/>
    <s v="ID"/>
    <n v="99999"/>
    <s v="USA"/>
    <m/>
    <x v="5"/>
    <x v="0"/>
    <n v="46"/>
    <n v="31"/>
    <x v="89"/>
    <n v="136.89599999999999"/>
  </r>
  <r>
    <n v="1106"/>
    <x v="52"/>
    <x v="8"/>
    <x v="8"/>
    <x v="8"/>
    <x v="7"/>
    <x v="7"/>
    <n v="99999"/>
    <s v="USA"/>
    <x v="6"/>
    <x v="1"/>
    <n v="41771"/>
    <s v="Shipping Company A"/>
    <s v="Roland Wacker"/>
    <s v="123 10th Street"/>
    <x v="7"/>
    <s v="IL"/>
    <n v="99999"/>
    <s v="USA"/>
    <m/>
    <x v="11"/>
    <x v="6"/>
    <n v="25"/>
    <n v="52"/>
    <x v="90"/>
    <n v="123.5"/>
  </r>
  <r>
    <n v="1107"/>
    <x v="52"/>
    <x v="8"/>
    <x v="8"/>
    <x v="8"/>
    <x v="7"/>
    <x v="7"/>
    <n v="99999"/>
    <s v="USA"/>
    <x v="6"/>
    <x v="1"/>
    <n v="41771"/>
    <s v="Shipping Company A"/>
    <s v="Roland Wacker"/>
    <s v="123 10th Street"/>
    <x v="7"/>
    <s v="IL"/>
    <n v="99999"/>
    <s v="USA"/>
    <m/>
    <x v="12"/>
    <x v="7"/>
    <n v="22"/>
    <n v="30"/>
    <x v="91"/>
    <n v="67.320000000000007"/>
  </r>
  <r>
    <n v="1108"/>
    <x v="52"/>
    <x v="8"/>
    <x v="8"/>
    <x v="8"/>
    <x v="7"/>
    <x v="7"/>
    <n v="99999"/>
    <s v="USA"/>
    <x v="6"/>
    <x v="1"/>
    <d v="2014-05-12T00:00:00"/>
    <s v="Shipping Company A"/>
    <s v="Roland Wacker"/>
    <s v="123 10th Street"/>
    <x v="7"/>
    <s v="IL"/>
    <n v="99999"/>
    <s v="USA"/>
    <m/>
    <x v="6"/>
    <x v="2"/>
    <n v="9.1999999999999993"/>
    <n v="41"/>
    <x v="92"/>
    <n v="38.474400000000003"/>
  </r>
  <r>
    <n v="1109"/>
    <x v="54"/>
    <x v="10"/>
    <x v="10"/>
    <x v="10"/>
    <x v="9"/>
    <x v="9"/>
    <n v="99999"/>
    <s v="USA"/>
    <x v="5"/>
    <x v="3"/>
    <m/>
    <s v="Shipping Company C"/>
    <s v="Peter Krschne"/>
    <s v="123 11th Street"/>
    <x v="9"/>
    <s v="FL"/>
    <n v="99999"/>
    <s v="USA"/>
    <m/>
    <x v="1"/>
    <x v="1"/>
    <n v="3.5"/>
    <n v="44"/>
    <x v="93"/>
    <n v="15.246"/>
  </r>
  <r>
    <n v="1110"/>
    <x v="54"/>
    <x v="10"/>
    <x v="10"/>
    <x v="10"/>
    <x v="9"/>
    <x v="9"/>
    <n v="99999"/>
    <s v="USA"/>
    <x v="5"/>
    <x v="3"/>
    <m/>
    <s v="Shipping Company C"/>
    <s v="Peter Krschne"/>
    <s v="123 11th Street"/>
    <x v="9"/>
    <s v="FL"/>
    <n v="99999"/>
    <s v="USA"/>
    <m/>
    <x v="10"/>
    <x v="0"/>
    <n v="2.99"/>
    <n v="77"/>
    <x v="94"/>
    <n v="23.023000000000003"/>
  </r>
  <r>
    <n v="1111"/>
    <x v="55"/>
    <x v="11"/>
    <x v="11"/>
    <x v="11"/>
    <x v="10"/>
    <x v="10"/>
    <n v="99999"/>
    <s v="USA"/>
    <x v="2"/>
    <x v="2"/>
    <m/>
    <m/>
    <s v="Anna Bedecs"/>
    <s v="123 1st Street"/>
    <x v="10"/>
    <s v="WA"/>
    <n v="99999"/>
    <s v="USA"/>
    <m/>
    <x v="4"/>
    <x v="0"/>
    <n v="18"/>
    <n v="29"/>
    <x v="95"/>
    <n v="52.722000000000001"/>
  </r>
  <r>
    <n v="1112"/>
    <x v="55"/>
    <x v="11"/>
    <x v="11"/>
    <x v="11"/>
    <x v="10"/>
    <x v="10"/>
    <n v="99999"/>
    <s v="USA"/>
    <x v="2"/>
    <x v="2"/>
    <m/>
    <m/>
    <s v="Anna Bedecs"/>
    <s v="123 1st Street"/>
    <x v="10"/>
    <s v="WA"/>
    <n v="99999"/>
    <s v="USA"/>
    <m/>
    <x v="5"/>
    <x v="0"/>
    <n v="46"/>
    <n v="77"/>
    <x v="96"/>
    <n v="368.36800000000005"/>
  </r>
  <r>
    <n v="1113"/>
    <x v="55"/>
    <x v="11"/>
    <x v="11"/>
    <x v="11"/>
    <x v="10"/>
    <x v="10"/>
    <n v="99999"/>
    <s v="USA"/>
    <x v="2"/>
    <x v="2"/>
    <m/>
    <m/>
    <s v="Anna Bedecs"/>
    <s v="123 1st Street"/>
    <x v="10"/>
    <s v="WA"/>
    <n v="99999"/>
    <s v="USA"/>
    <m/>
    <x v="10"/>
    <x v="0"/>
    <n v="2.99"/>
    <n v="73"/>
    <x v="97"/>
    <n v="21.827000000000002"/>
  </r>
  <r>
    <n v="1114"/>
    <x v="50"/>
    <x v="7"/>
    <x v="7"/>
    <x v="7"/>
    <x v="6"/>
    <x v="6"/>
    <n v="99999"/>
    <s v="USA"/>
    <x v="5"/>
    <x v="3"/>
    <n v="41789"/>
    <s v="Shipping Company C"/>
    <s v="Amritansh Raghav"/>
    <s v="789 28th Street"/>
    <x v="6"/>
    <s v="TN"/>
    <n v="99999"/>
    <s v="USA"/>
    <s v="Credit Card"/>
    <x v="8"/>
    <x v="4"/>
    <n v="9.65"/>
    <n v="74"/>
    <x v="98"/>
    <n v="67.839500000000001"/>
  </r>
  <r>
    <n v="1115"/>
    <x v="50"/>
    <x v="7"/>
    <x v="7"/>
    <x v="7"/>
    <x v="6"/>
    <x v="6"/>
    <n v="99999"/>
    <s v="USA"/>
    <x v="5"/>
    <x v="3"/>
    <d v="2014-05-30T00:00:00"/>
    <s v="Shipping Company C"/>
    <s v="Amritansh Raghav"/>
    <s v="789 28th Street"/>
    <x v="6"/>
    <s v="TN"/>
    <n v="99999"/>
    <s v="USA"/>
    <s v="Credit Card"/>
    <x v="13"/>
    <x v="8"/>
    <n v="18.399999999999999"/>
    <n v="25"/>
    <x v="99"/>
    <n v="46.46"/>
  </r>
  <r>
    <n v="1116"/>
    <x v="56"/>
    <x v="12"/>
    <x v="12"/>
    <x v="12"/>
    <x v="11"/>
    <x v="11"/>
    <n v="99999"/>
    <s v="USA"/>
    <x v="7"/>
    <x v="0"/>
    <d v="2014-05-11T00:00:00"/>
    <s v="Shipping Company A"/>
    <s v="Sven Mortensen"/>
    <s v="123 9th Street"/>
    <x v="11"/>
    <s v="UT"/>
    <n v="99999"/>
    <s v="USA"/>
    <s v="Check"/>
    <x v="14"/>
    <x v="9"/>
    <n v="19.5"/>
    <n v="82"/>
    <x v="100"/>
    <n v="153.50399999999999"/>
  </r>
  <r>
    <n v="1117"/>
    <x v="56"/>
    <x v="12"/>
    <x v="12"/>
    <x v="12"/>
    <x v="11"/>
    <x v="11"/>
    <n v="99999"/>
    <s v="USA"/>
    <x v="7"/>
    <x v="0"/>
    <d v="2014-05-11T00:00:00"/>
    <s v="Shipping Company A"/>
    <s v="Sven Mortensen"/>
    <s v="123 9th Street"/>
    <x v="11"/>
    <s v="UT"/>
    <n v="99999"/>
    <s v="USA"/>
    <s v="Check"/>
    <x v="15"/>
    <x v="10"/>
    <n v="34.799999999999997"/>
    <n v="37"/>
    <x v="101"/>
    <n v="132.62279999999998"/>
  </r>
  <r>
    <n v="1118"/>
    <x v="49"/>
    <x v="6"/>
    <x v="6"/>
    <x v="6"/>
    <x v="5"/>
    <x v="5"/>
    <n v="99999"/>
    <s v="USA"/>
    <x v="4"/>
    <x v="2"/>
    <n v="41767"/>
    <s v="Shipping Company B"/>
    <s v="Francisco Pérez-Olaeta"/>
    <s v="123 6th Street"/>
    <x v="5"/>
    <s v="WI"/>
    <n v="99999"/>
    <s v="USA"/>
    <s v="Credit Card"/>
    <x v="0"/>
    <x v="0"/>
    <n v="14"/>
    <n v="84"/>
    <x v="102"/>
    <n v="112.896"/>
  </r>
  <r>
    <n v="1119"/>
    <x v="51"/>
    <x v="3"/>
    <x v="3"/>
    <x v="3"/>
    <x v="2"/>
    <x v="2"/>
    <n v="99999"/>
    <s v="USA"/>
    <x v="2"/>
    <x v="2"/>
    <n v="41769"/>
    <s v="Shipping Company B"/>
    <s v="Elizabeth Andersen"/>
    <s v="123 8th Street"/>
    <x v="2"/>
    <s v="OR"/>
    <n v="99999"/>
    <s v="USA"/>
    <s v="Check"/>
    <x v="9"/>
    <x v="5"/>
    <n v="40"/>
    <n v="73"/>
    <x v="103"/>
    <n v="283.24"/>
  </r>
  <r>
    <n v="1120"/>
    <x v="51"/>
    <x v="3"/>
    <x v="3"/>
    <x v="3"/>
    <x v="2"/>
    <x v="2"/>
    <n v="99999"/>
    <s v="USA"/>
    <x v="2"/>
    <x v="2"/>
    <n v="41769"/>
    <s v="Shipping Company B"/>
    <s v="Elizabeth Andersen"/>
    <s v="123 8th Street"/>
    <x v="2"/>
    <s v="OR"/>
    <n v="99999"/>
    <s v="USA"/>
    <s v="Check"/>
    <x v="6"/>
    <x v="2"/>
    <n v="9.1999999999999993"/>
    <n v="51"/>
    <x v="104"/>
    <n v="44.573999999999998"/>
  </r>
  <r>
    <n v="1121"/>
    <x v="57"/>
    <x v="13"/>
    <x v="13"/>
    <x v="13"/>
    <x v="7"/>
    <x v="7"/>
    <n v="99999"/>
    <s v="USA"/>
    <x v="6"/>
    <x v="1"/>
    <n v="41786"/>
    <s v="Shipping Company A"/>
    <s v="John Rodman"/>
    <s v="789 25th Street"/>
    <x v="7"/>
    <s v="IL"/>
    <n v="99999"/>
    <s v="USA"/>
    <s v="Cash"/>
    <x v="21"/>
    <x v="2"/>
    <n v="10"/>
    <n v="66"/>
    <x v="91"/>
    <n v="68.64"/>
  </r>
  <r>
    <n v="1122"/>
    <x v="58"/>
    <x v="14"/>
    <x v="14"/>
    <x v="14"/>
    <x v="9"/>
    <x v="9"/>
    <n v="99999"/>
    <s v="USA"/>
    <x v="5"/>
    <x v="3"/>
    <n v="41787"/>
    <s v="Shipping Company C"/>
    <s v="Run Liu"/>
    <s v="789 26th Street"/>
    <x v="9"/>
    <s v="FL"/>
    <n v="99999"/>
    <s v="USA"/>
    <s v="Credit Card"/>
    <x v="22"/>
    <x v="13"/>
    <n v="21.35"/>
    <n v="36"/>
    <x v="105"/>
    <n v="74.554200000000009"/>
  </r>
  <r>
    <n v="1123"/>
    <x v="58"/>
    <x v="14"/>
    <x v="14"/>
    <x v="14"/>
    <x v="9"/>
    <x v="9"/>
    <n v="99999"/>
    <s v="USA"/>
    <x v="5"/>
    <x v="3"/>
    <d v="2014-05-28T00:00:00"/>
    <s v="Shipping Company C"/>
    <s v="Run Liu"/>
    <s v="789 26th Street"/>
    <x v="9"/>
    <s v="FL"/>
    <n v="99999"/>
    <s v="USA"/>
    <s v="Credit Card"/>
    <x v="8"/>
    <x v="4"/>
    <n v="9.65"/>
    <n v="87"/>
    <x v="106"/>
    <n v="87.313200000000009"/>
  </r>
  <r>
    <n v="1124"/>
    <x v="58"/>
    <x v="14"/>
    <x v="14"/>
    <x v="14"/>
    <x v="9"/>
    <x v="9"/>
    <n v="99999"/>
    <s v="USA"/>
    <x v="5"/>
    <x v="3"/>
    <d v="2014-05-28T00:00:00"/>
    <s v="Shipping Company C"/>
    <s v="Run Liu"/>
    <s v="789 26th Street"/>
    <x v="9"/>
    <s v="FL"/>
    <n v="99999"/>
    <s v="USA"/>
    <s v="Credit Card"/>
    <x v="13"/>
    <x v="8"/>
    <n v="18.399999999999999"/>
    <n v="64"/>
    <x v="107"/>
    <n v="115.40479999999999"/>
  </r>
  <r>
    <n v="1125"/>
    <x v="47"/>
    <x v="4"/>
    <x v="4"/>
    <x v="4"/>
    <x v="3"/>
    <x v="3"/>
    <n v="99999"/>
    <s v="USA"/>
    <x v="3"/>
    <x v="0"/>
    <d v="2014-05-31T00:00:00"/>
    <s v="Shipping Company B"/>
    <s v="Soo Jung Lee"/>
    <s v="789 29th Street"/>
    <x v="3"/>
    <s v="CO"/>
    <n v="99999"/>
    <s v="USA"/>
    <s v="Check"/>
    <x v="0"/>
    <x v="0"/>
    <n v="14"/>
    <n v="21"/>
    <x v="108"/>
    <n v="30.870000000000005"/>
  </r>
  <r>
    <n v="1126"/>
    <x v="49"/>
    <x v="6"/>
    <x v="6"/>
    <x v="6"/>
    <x v="5"/>
    <x v="5"/>
    <n v="99999"/>
    <s v="USA"/>
    <x v="4"/>
    <x v="2"/>
    <d v="2014-05-08T00:00:00"/>
    <s v="Shipping Company C"/>
    <s v="Francisco Pérez-Olaeta"/>
    <s v="123 6th Street"/>
    <x v="5"/>
    <s v="WI"/>
    <n v="99999"/>
    <s v="USA"/>
    <s v="Check"/>
    <x v="7"/>
    <x v="3"/>
    <n v="12.75"/>
    <n v="19"/>
    <x v="109"/>
    <n v="24.46725"/>
  </r>
  <r>
    <n v="1128"/>
    <x v="59"/>
    <x v="1"/>
    <x v="1"/>
    <x v="1"/>
    <x v="1"/>
    <x v="1"/>
    <n v="99999"/>
    <s v="USA"/>
    <x v="1"/>
    <x v="1"/>
    <d v="2014-05-06T00:00:00"/>
    <s v="Shipping Company A"/>
    <s v="Christina Lee"/>
    <s v="123 4th Street"/>
    <x v="1"/>
    <s v="NY"/>
    <n v="99999"/>
    <s v="USA"/>
    <s v="Credit Card"/>
    <x v="23"/>
    <x v="6"/>
    <n v="81"/>
    <n v="23"/>
    <x v="110"/>
    <n v="195.61500000000001"/>
  </r>
  <r>
    <n v="1129"/>
    <x v="59"/>
    <x v="1"/>
    <x v="1"/>
    <x v="1"/>
    <x v="1"/>
    <x v="1"/>
    <n v="99999"/>
    <s v="USA"/>
    <x v="1"/>
    <x v="1"/>
    <d v="2014-05-06T00:00:00"/>
    <s v="Shipping Company A"/>
    <s v="Christina Lee"/>
    <s v="123 4th Street"/>
    <x v="1"/>
    <s v="NY"/>
    <n v="99999"/>
    <s v="USA"/>
    <s v="Credit Card"/>
    <x v="24"/>
    <x v="14"/>
    <n v="7"/>
    <n v="72"/>
    <x v="111"/>
    <n v="51.912000000000006"/>
  </r>
  <r>
    <n v="1131"/>
    <x v="51"/>
    <x v="3"/>
    <x v="3"/>
    <x v="3"/>
    <x v="2"/>
    <x v="2"/>
    <n v="99999"/>
    <s v="USA"/>
    <x v="2"/>
    <x v="2"/>
    <d v="2014-05-10T00:00:00"/>
    <s v="Shipping Company C"/>
    <s v="Elizabeth Andersen"/>
    <s v="123 8th Street"/>
    <x v="2"/>
    <s v="OR"/>
    <n v="99999"/>
    <s v="USA"/>
    <s v="Credit Card"/>
    <x v="15"/>
    <x v="10"/>
    <n v="34.799999999999997"/>
    <n v="22"/>
    <x v="112"/>
    <n v="75.02879999999999"/>
  </r>
  <r>
    <n v="1134"/>
    <x v="48"/>
    <x v="5"/>
    <x v="5"/>
    <x v="5"/>
    <x v="4"/>
    <x v="4"/>
    <n v="99999"/>
    <s v="USA"/>
    <x v="0"/>
    <x v="0"/>
    <d v="2014-05-05T00:00:00"/>
    <s v="Shipping Company B"/>
    <s v="Thomas Axerr"/>
    <s v="123 3rd Street"/>
    <x v="4"/>
    <s v="CA"/>
    <n v="99999"/>
    <s v="USA"/>
    <s v="Cash"/>
    <x v="16"/>
    <x v="7"/>
    <n v="10"/>
    <n v="82"/>
    <x v="113"/>
    <n v="85.28"/>
  </r>
  <r>
    <n v="1135"/>
    <x v="48"/>
    <x v="5"/>
    <x v="5"/>
    <x v="5"/>
    <x v="4"/>
    <x v="4"/>
    <n v="99999"/>
    <s v="USA"/>
    <x v="0"/>
    <x v="0"/>
    <d v="2014-05-05T00:00:00"/>
    <s v="Shipping Company B"/>
    <s v="Thomas Axerr"/>
    <s v="123 3rd Street"/>
    <x v="4"/>
    <s v="CA"/>
    <n v="99999"/>
    <s v="USA"/>
    <s v="Cash"/>
    <x v="9"/>
    <x v="5"/>
    <n v="40"/>
    <n v="98"/>
    <x v="114"/>
    <n v="411.6"/>
  </r>
  <r>
    <n v="1138"/>
    <x v="60"/>
    <x v="9"/>
    <x v="9"/>
    <x v="9"/>
    <x v="8"/>
    <x v="8"/>
    <n v="99999"/>
    <s v="USA"/>
    <x v="2"/>
    <x v="2"/>
    <m/>
    <m/>
    <s v="Ming-Yang Xie"/>
    <s v="123 7th Street"/>
    <x v="8"/>
    <s v="ID"/>
    <n v="99999"/>
    <s v="USA"/>
    <m/>
    <x v="5"/>
    <x v="0"/>
    <n v="46"/>
    <n v="71"/>
    <x v="115"/>
    <n v="310.27"/>
  </r>
  <r>
    <n v="1139"/>
    <x v="61"/>
    <x v="8"/>
    <x v="8"/>
    <x v="8"/>
    <x v="7"/>
    <x v="7"/>
    <n v="99999"/>
    <s v="USA"/>
    <x v="6"/>
    <x v="1"/>
    <d v="2014-06-12T00:00:00"/>
    <s v="Shipping Company A"/>
    <s v="Roland Wacker"/>
    <s v="123 10th Street"/>
    <x v="7"/>
    <s v="IL"/>
    <n v="99999"/>
    <s v="USA"/>
    <m/>
    <x v="11"/>
    <x v="6"/>
    <n v="25"/>
    <n v="40"/>
    <x v="116"/>
    <n v="105"/>
  </r>
  <r>
    <n v="1140"/>
    <x v="61"/>
    <x v="8"/>
    <x v="8"/>
    <x v="8"/>
    <x v="7"/>
    <x v="7"/>
    <n v="99999"/>
    <s v="USA"/>
    <x v="6"/>
    <x v="1"/>
    <d v="2014-06-12T00:00:00"/>
    <s v="Shipping Company A"/>
    <s v="Roland Wacker"/>
    <s v="123 10th Street"/>
    <x v="7"/>
    <s v="IL"/>
    <n v="99999"/>
    <s v="USA"/>
    <m/>
    <x v="12"/>
    <x v="7"/>
    <n v="22"/>
    <n v="80"/>
    <x v="117"/>
    <n v="172.48"/>
  </r>
  <r>
    <n v="1141"/>
    <x v="61"/>
    <x v="8"/>
    <x v="8"/>
    <x v="8"/>
    <x v="7"/>
    <x v="7"/>
    <n v="99999"/>
    <s v="USA"/>
    <x v="6"/>
    <x v="1"/>
    <d v="2014-06-12T00:00:00"/>
    <s v="Shipping Company A"/>
    <s v="Roland Wacker"/>
    <s v="123 10th Street"/>
    <x v="7"/>
    <s v="IL"/>
    <n v="99999"/>
    <s v="USA"/>
    <m/>
    <x v="6"/>
    <x v="2"/>
    <n v="9.1999999999999993"/>
    <n v="38"/>
    <x v="7"/>
    <n v="33.211999999999996"/>
  </r>
  <r>
    <n v="1142"/>
    <x v="62"/>
    <x v="10"/>
    <x v="10"/>
    <x v="10"/>
    <x v="9"/>
    <x v="9"/>
    <n v="99999"/>
    <s v="USA"/>
    <x v="5"/>
    <x v="3"/>
    <m/>
    <s v="Shipping Company C"/>
    <s v="Peter Krschne"/>
    <s v="123 11th Street"/>
    <x v="9"/>
    <s v="FL"/>
    <n v="99999"/>
    <s v="USA"/>
    <m/>
    <x v="1"/>
    <x v="1"/>
    <n v="3.5"/>
    <n v="28"/>
    <x v="118"/>
    <n v="10.290000000000001"/>
  </r>
  <r>
    <n v="1143"/>
    <x v="62"/>
    <x v="10"/>
    <x v="10"/>
    <x v="10"/>
    <x v="9"/>
    <x v="9"/>
    <n v="99999"/>
    <s v="USA"/>
    <x v="5"/>
    <x v="3"/>
    <m/>
    <s v="Shipping Company C"/>
    <s v="Peter Krschne"/>
    <s v="123 11th Street"/>
    <x v="9"/>
    <s v="FL"/>
    <n v="99999"/>
    <s v="USA"/>
    <m/>
    <x v="10"/>
    <x v="0"/>
    <n v="2.99"/>
    <n v="60"/>
    <x v="119"/>
    <n v="17.581200000000003"/>
  </r>
  <r>
    <n v="1144"/>
    <x v="63"/>
    <x v="11"/>
    <x v="11"/>
    <x v="11"/>
    <x v="10"/>
    <x v="10"/>
    <n v="99999"/>
    <s v="USA"/>
    <x v="2"/>
    <x v="2"/>
    <m/>
    <m/>
    <s v="Anna Bedecs"/>
    <s v="123 1st Street"/>
    <x v="10"/>
    <s v="WA"/>
    <n v="99999"/>
    <s v="USA"/>
    <m/>
    <x v="4"/>
    <x v="0"/>
    <n v="18"/>
    <n v="33"/>
    <x v="120"/>
    <n v="58.212000000000003"/>
  </r>
  <r>
    <n v="1145"/>
    <x v="63"/>
    <x v="11"/>
    <x v="11"/>
    <x v="11"/>
    <x v="10"/>
    <x v="10"/>
    <n v="99999"/>
    <s v="USA"/>
    <x v="2"/>
    <x v="2"/>
    <m/>
    <m/>
    <s v="Anna Bedecs"/>
    <s v="123 1st Street"/>
    <x v="10"/>
    <s v="WA"/>
    <n v="99999"/>
    <s v="USA"/>
    <m/>
    <x v="5"/>
    <x v="0"/>
    <n v="46"/>
    <n v="22"/>
    <x v="121"/>
    <n v="101.2"/>
  </r>
  <r>
    <n v="1146"/>
    <x v="63"/>
    <x v="11"/>
    <x v="11"/>
    <x v="11"/>
    <x v="10"/>
    <x v="10"/>
    <n v="99999"/>
    <s v="USA"/>
    <x v="2"/>
    <x v="2"/>
    <m/>
    <m/>
    <s v="Anna Bedecs"/>
    <s v="123 1st Street"/>
    <x v="10"/>
    <s v="WA"/>
    <n v="99999"/>
    <s v="USA"/>
    <m/>
    <x v="10"/>
    <x v="0"/>
    <n v="2.99"/>
    <n v="51"/>
    <x v="122"/>
    <n v="14.944020000000002"/>
  </r>
  <r>
    <n v="1147"/>
    <x v="64"/>
    <x v="7"/>
    <x v="7"/>
    <x v="7"/>
    <x v="6"/>
    <x v="6"/>
    <n v="99999"/>
    <s v="USA"/>
    <x v="5"/>
    <x v="3"/>
    <d v="2014-06-30T00:00:00"/>
    <s v="Shipping Company C"/>
    <s v="Amritansh Raghav"/>
    <s v="789 28th Street"/>
    <x v="6"/>
    <s v="TN"/>
    <n v="99999"/>
    <s v="USA"/>
    <s v="Credit Card"/>
    <x v="8"/>
    <x v="4"/>
    <n v="9.65"/>
    <n v="60"/>
    <x v="123"/>
    <n v="57.321000000000005"/>
  </r>
  <r>
    <n v="1148"/>
    <x v="64"/>
    <x v="7"/>
    <x v="7"/>
    <x v="7"/>
    <x v="6"/>
    <x v="6"/>
    <n v="99999"/>
    <s v="USA"/>
    <x v="5"/>
    <x v="3"/>
    <d v="2014-06-30T00:00:00"/>
    <s v="Shipping Company C"/>
    <s v="Amritansh Raghav"/>
    <s v="789 28th Street"/>
    <x v="6"/>
    <s v="TN"/>
    <n v="99999"/>
    <s v="USA"/>
    <s v="Credit Card"/>
    <x v="13"/>
    <x v="8"/>
    <n v="18.399999999999999"/>
    <n v="98"/>
    <x v="124"/>
    <n v="183.9264"/>
  </r>
  <r>
    <n v="1149"/>
    <x v="65"/>
    <x v="12"/>
    <x v="12"/>
    <x v="12"/>
    <x v="11"/>
    <x v="11"/>
    <n v="99999"/>
    <s v="USA"/>
    <x v="7"/>
    <x v="0"/>
    <d v="2014-06-11T00:00:00"/>
    <s v="Shipping Company A"/>
    <s v="Sven Mortensen"/>
    <s v="123 9th Street"/>
    <x v="11"/>
    <s v="UT"/>
    <n v="99999"/>
    <s v="USA"/>
    <s v="Check"/>
    <x v="14"/>
    <x v="9"/>
    <n v="19.5"/>
    <n v="27"/>
    <x v="125"/>
    <n v="51.070500000000003"/>
  </r>
  <r>
    <n v="1150"/>
    <x v="65"/>
    <x v="12"/>
    <x v="12"/>
    <x v="12"/>
    <x v="11"/>
    <x v="11"/>
    <n v="99999"/>
    <s v="USA"/>
    <x v="7"/>
    <x v="0"/>
    <d v="2014-06-11T00:00:00"/>
    <s v="Shipping Company A"/>
    <s v="Sven Mortensen"/>
    <s v="123 9th Street"/>
    <x v="11"/>
    <s v="UT"/>
    <n v="99999"/>
    <s v="USA"/>
    <s v="Check"/>
    <x v="15"/>
    <x v="10"/>
    <n v="34.799999999999997"/>
    <n v="88"/>
    <x v="126"/>
    <n v="303.17759999999993"/>
  </r>
  <r>
    <n v="1151"/>
    <x v="66"/>
    <x v="6"/>
    <x v="6"/>
    <x v="6"/>
    <x v="5"/>
    <x v="5"/>
    <n v="99999"/>
    <s v="USA"/>
    <x v="4"/>
    <x v="2"/>
    <d v="2014-06-08T00:00:00"/>
    <s v="Shipping Company B"/>
    <s v="Francisco Pérez-Olaeta"/>
    <s v="123 6th Street"/>
    <x v="5"/>
    <s v="WI"/>
    <n v="99999"/>
    <s v="USA"/>
    <s v="Credit Card"/>
    <x v="0"/>
    <x v="0"/>
    <n v="14"/>
    <n v="65"/>
    <x v="127"/>
    <n v="95.55"/>
  </r>
  <r>
    <n v="1152"/>
    <x v="67"/>
    <x v="3"/>
    <x v="3"/>
    <x v="3"/>
    <x v="2"/>
    <x v="2"/>
    <n v="99999"/>
    <s v="USA"/>
    <x v="2"/>
    <x v="2"/>
    <d v="2014-06-10T00:00:00"/>
    <s v="Shipping Company B"/>
    <s v="Elizabeth Andersen"/>
    <s v="123 8th Street"/>
    <x v="2"/>
    <s v="OR"/>
    <n v="99999"/>
    <s v="USA"/>
    <s v="Check"/>
    <x v="9"/>
    <x v="5"/>
    <n v="40"/>
    <n v="38"/>
    <x v="128"/>
    <n v="148.96"/>
  </r>
  <r>
    <n v="1153"/>
    <x v="67"/>
    <x v="3"/>
    <x v="3"/>
    <x v="3"/>
    <x v="2"/>
    <x v="2"/>
    <n v="99999"/>
    <s v="USA"/>
    <x v="2"/>
    <x v="2"/>
    <n v="41800"/>
    <s v="Shipping Company B"/>
    <s v="Elizabeth Andersen"/>
    <s v="123 8th Street"/>
    <x v="2"/>
    <s v="OR"/>
    <n v="99999"/>
    <s v="USA"/>
    <s v="Check"/>
    <x v="6"/>
    <x v="2"/>
    <n v="9.1999999999999993"/>
    <n v="80"/>
    <x v="129"/>
    <n v="70.656000000000006"/>
  </r>
  <r>
    <n v="1154"/>
    <x v="68"/>
    <x v="13"/>
    <x v="13"/>
    <x v="13"/>
    <x v="7"/>
    <x v="7"/>
    <n v="99999"/>
    <s v="USA"/>
    <x v="6"/>
    <x v="1"/>
    <d v="2014-06-27T00:00:00"/>
    <s v="Shipping Company A"/>
    <s v="John Rodman"/>
    <s v="789 25th Street"/>
    <x v="7"/>
    <s v="IL"/>
    <n v="99999"/>
    <s v="USA"/>
    <s v="Cash"/>
    <x v="21"/>
    <x v="2"/>
    <n v="10"/>
    <n v="49"/>
    <x v="130"/>
    <n v="47.04"/>
  </r>
  <r>
    <n v="1155"/>
    <x v="69"/>
    <x v="14"/>
    <x v="14"/>
    <x v="14"/>
    <x v="9"/>
    <x v="9"/>
    <n v="99999"/>
    <s v="USA"/>
    <x v="5"/>
    <x v="3"/>
    <d v="2014-06-28T00:00:00"/>
    <s v="Shipping Company C"/>
    <s v="Run Liu"/>
    <s v="789 26th Street"/>
    <x v="9"/>
    <s v="FL"/>
    <n v="99999"/>
    <s v="USA"/>
    <s v="Credit Card"/>
    <x v="22"/>
    <x v="13"/>
    <n v="21.35"/>
    <n v="90"/>
    <x v="131"/>
    <n v="186.38550000000004"/>
  </r>
  <r>
    <n v="1156"/>
    <x v="69"/>
    <x v="14"/>
    <x v="14"/>
    <x v="14"/>
    <x v="9"/>
    <x v="9"/>
    <n v="99999"/>
    <s v="USA"/>
    <x v="5"/>
    <x v="3"/>
    <d v="2014-06-28T00:00:00"/>
    <s v="Shipping Company C"/>
    <s v="Run Liu"/>
    <s v="789 26th Street"/>
    <x v="9"/>
    <s v="FL"/>
    <n v="99999"/>
    <s v="USA"/>
    <s v="Credit Card"/>
    <x v="8"/>
    <x v="4"/>
    <n v="9.65"/>
    <n v="60"/>
    <x v="123"/>
    <n v="59.637000000000008"/>
  </r>
  <r>
    <n v="1157"/>
    <x v="69"/>
    <x v="14"/>
    <x v="14"/>
    <x v="14"/>
    <x v="9"/>
    <x v="9"/>
    <n v="99999"/>
    <s v="USA"/>
    <x v="5"/>
    <x v="3"/>
    <n v="41818"/>
    <s v="Shipping Company C"/>
    <s v="Run Liu"/>
    <s v="789 26th Street"/>
    <x v="9"/>
    <s v="FL"/>
    <n v="99999"/>
    <s v="USA"/>
    <s v="Credit Card"/>
    <x v="13"/>
    <x v="8"/>
    <n v="18.399999999999999"/>
    <n v="39"/>
    <x v="132"/>
    <n v="71.759999999999991"/>
  </r>
  <r>
    <n v="1158"/>
    <x v="70"/>
    <x v="4"/>
    <x v="4"/>
    <x v="4"/>
    <x v="3"/>
    <x v="3"/>
    <n v="99999"/>
    <s v="USA"/>
    <x v="3"/>
    <x v="0"/>
    <n v="41821"/>
    <s v="Shipping Company B"/>
    <s v="Soo Jung Lee"/>
    <s v="789 29th Street"/>
    <x v="3"/>
    <s v="CO"/>
    <n v="99999"/>
    <s v="USA"/>
    <s v="Check"/>
    <x v="0"/>
    <x v="0"/>
    <n v="14"/>
    <n v="79"/>
    <x v="133"/>
    <n v="113.91800000000001"/>
  </r>
  <r>
    <n v="1159"/>
    <x v="66"/>
    <x v="6"/>
    <x v="6"/>
    <x v="6"/>
    <x v="5"/>
    <x v="5"/>
    <n v="99999"/>
    <s v="USA"/>
    <x v="4"/>
    <x v="2"/>
    <n v="41798"/>
    <s v="Shipping Company C"/>
    <s v="Francisco Pérez-Olaeta"/>
    <s v="123 6th Street"/>
    <x v="5"/>
    <s v="WI"/>
    <n v="99999"/>
    <s v="USA"/>
    <s v="Check"/>
    <x v="7"/>
    <x v="3"/>
    <n v="12.75"/>
    <n v="44"/>
    <x v="134"/>
    <n v="57.222000000000001"/>
  </r>
  <r>
    <n v="1161"/>
    <x v="71"/>
    <x v="1"/>
    <x v="1"/>
    <x v="1"/>
    <x v="1"/>
    <x v="1"/>
    <n v="99999"/>
    <s v="USA"/>
    <x v="1"/>
    <x v="1"/>
    <n v="41796"/>
    <s v="Shipping Company A"/>
    <s v="Christina Lee"/>
    <s v="123 4th Street"/>
    <x v="1"/>
    <s v="NY"/>
    <n v="99999"/>
    <s v="USA"/>
    <s v="Credit Card"/>
    <x v="23"/>
    <x v="6"/>
    <n v="81"/>
    <n v="98"/>
    <x v="135"/>
    <n v="769.98599999999999"/>
  </r>
  <r>
    <n v="1162"/>
    <x v="71"/>
    <x v="1"/>
    <x v="1"/>
    <x v="1"/>
    <x v="1"/>
    <x v="1"/>
    <n v="99999"/>
    <s v="USA"/>
    <x v="1"/>
    <x v="1"/>
    <n v="41796"/>
    <s v="Shipping Company A"/>
    <s v="Christina Lee"/>
    <s v="123 4th Street"/>
    <x v="1"/>
    <s v="NY"/>
    <n v="99999"/>
    <s v="USA"/>
    <s v="Credit Card"/>
    <x v="24"/>
    <x v="14"/>
    <n v="7"/>
    <n v="61"/>
    <x v="136"/>
    <n v="42.273000000000003"/>
  </r>
  <r>
    <n v="1164"/>
    <x v="67"/>
    <x v="3"/>
    <x v="3"/>
    <x v="3"/>
    <x v="2"/>
    <x v="2"/>
    <n v="99999"/>
    <s v="USA"/>
    <x v="2"/>
    <x v="2"/>
    <d v="2014-06-10T00:00:00"/>
    <s v="Shipping Company C"/>
    <s v="Elizabeth Andersen"/>
    <s v="123 8th Street"/>
    <x v="2"/>
    <s v="OR"/>
    <n v="99999"/>
    <s v="USA"/>
    <s v="Credit Card"/>
    <x v="15"/>
    <x v="10"/>
    <n v="34.799999999999997"/>
    <n v="30"/>
    <x v="137"/>
    <n v="109.62"/>
  </r>
  <r>
    <n v="1167"/>
    <x v="72"/>
    <x v="5"/>
    <x v="5"/>
    <x v="5"/>
    <x v="4"/>
    <x v="4"/>
    <n v="99999"/>
    <s v="USA"/>
    <x v="0"/>
    <x v="0"/>
    <d v="2014-06-05T00:00:00"/>
    <s v="Shipping Company B"/>
    <s v="Thomas Axerr"/>
    <s v="123 3rd Street"/>
    <x v="4"/>
    <s v="CA"/>
    <n v="99999"/>
    <s v="USA"/>
    <s v="Cash"/>
    <x v="16"/>
    <x v="7"/>
    <n v="10"/>
    <n v="24"/>
    <x v="138"/>
    <n v="25.200000000000003"/>
  </r>
  <r>
    <n v="1168"/>
    <x v="72"/>
    <x v="5"/>
    <x v="5"/>
    <x v="5"/>
    <x v="4"/>
    <x v="4"/>
    <n v="99999"/>
    <s v="USA"/>
    <x v="0"/>
    <x v="0"/>
    <d v="2014-06-05T00:00:00"/>
    <s v="Shipping Company B"/>
    <s v="Thomas Axerr"/>
    <s v="123 3rd Street"/>
    <x v="4"/>
    <s v="CA"/>
    <n v="99999"/>
    <s v="USA"/>
    <s v="Cash"/>
    <x v="9"/>
    <x v="5"/>
    <n v="40"/>
    <n v="28"/>
    <x v="139"/>
    <n v="109.75999999999999"/>
  </r>
  <r>
    <n v="1172"/>
    <x v="61"/>
    <x v="8"/>
    <x v="8"/>
    <x v="8"/>
    <x v="7"/>
    <x v="7"/>
    <n v="99999"/>
    <s v="USA"/>
    <x v="6"/>
    <x v="1"/>
    <d v="2014-06-12T00:00:00"/>
    <s v="Shipping Company B"/>
    <s v="Roland Wacker"/>
    <s v="123 10th Street"/>
    <x v="7"/>
    <s v="IL"/>
    <n v="99999"/>
    <s v="USA"/>
    <s v="Credit Card"/>
    <x v="18"/>
    <x v="1"/>
    <n v="10"/>
    <n v="74"/>
    <x v="140"/>
    <n v="71.78"/>
  </r>
  <r>
    <n v="1174"/>
    <x v="61"/>
    <x v="8"/>
    <x v="8"/>
    <x v="8"/>
    <x v="7"/>
    <x v="7"/>
    <n v="99999"/>
    <s v="USA"/>
    <x v="6"/>
    <x v="1"/>
    <m/>
    <s v="Shipping Company A"/>
    <s v="Roland Wacker"/>
    <s v="123 10th Street"/>
    <x v="7"/>
    <s v="IL"/>
    <n v="99999"/>
    <s v="USA"/>
    <m/>
    <x v="1"/>
    <x v="1"/>
    <n v="3.5"/>
    <n v="90"/>
    <x v="141"/>
    <n v="30.24"/>
  </r>
  <r>
    <n v="1175"/>
    <x v="62"/>
    <x v="10"/>
    <x v="10"/>
    <x v="10"/>
    <x v="9"/>
    <x v="9"/>
    <n v="99999"/>
    <s v="USA"/>
    <x v="5"/>
    <x v="3"/>
    <m/>
    <s v="Shipping Company C"/>
    <s v="Peter Krschne"/>
    <s v="123 11th Street"/>
    <x v="9"/>
    <s v="FL"/>
    <n v="99999"/>
    <s v="USA"/>
    <m/>
    <x v="9"/>
    <x v="5"/>
    <n v="40"/>
    <n v="27"/>
    <x v="142"/>
    <n v="111.24000000000001"/>
  </r>
  <r>
    <n v="1176"/>
    <x v="63"/>
    <x v="11"/>
    <x v="11"/>
    <x v="11"/>
    <x v="10"/>
    <x v="10"/>
    <n v="99999"/>
    <s v="USA"/>
    <x v="2"/>
    <x v="2"/>
    <m/>
    <s v="Shipping Company C"/>
    <s v="Anna Bedecs"/>
    <s v="123 1st Street"/>
    <x v="10"/>
    <s v="WA"/>
    <n v="99999"/>
    <s v="USA"/>
    <m/>
    <x v="13"/>
    <x v="8"/>
    <n v="18.399999999999999"/>
    <n v="71"/>
    <x v="143"/>
    <n v="137.172"/>
  </r>
  <r>
    <n v="1177"/>
    <x v="64"/>
    <x v="7"/>
    <x v="7"/>
    <x v="7"/>
    <x v="6"/>
    <x v="6"/>
    <n v="99999"/>
    <s v="USA"/>
    <x v="5"/>
    <x v="3"/>
    <d v="2014-06-30T00:00:00"/>
    <s v="Shipping Company C"/>
    <s v="Amritansh Raghav"/>
    <s v="789 28th Street"/>
    <x v="6"/>
    <s v="TN"/>
    <n v="99999"/>
    <s v="USA"/>
    <s v="Credit Card"/>
    <x v="5"/>
    <x v="0"/>
    <n v="46"/>
    <n v="74"/>
    <x v="144"/>
    <n v="340.40000000000003"/>
  </r>
  <r>
    <n v="1178"/>
    <x v="65"/>
    <x v="12"/>
    <x v="12"/>
    <x v="12"/>
    <x v="11"/>
    <x v="11"/>
    <n v="99999"/>
    <s v="USA"/>
    <x v="7"/>
    <x v="0"/>
    <d v="2014-06-11T00:00:00"/>
    <s v="Shipping Company A"/>
    <s v="Sven Mortensen"/>
    <s v="123 9th Street"/>
    <x v="11"/>
    <s v="UT"/>
    <n v="99999"/>
    <s v="USA"/>
    <s v="Check"/>
    <x v="8"/>
    <x v="4"/>
    <n v="9.65"/>
    <n v="76"/>
    <x v="145"/>
    <n v="72.6066"/>
  </r>
  <r>
    <n v="1179"/>
    <x v="66"/>
    <x v="6"/>
    <x v="6"/>
    <x v="6"/>
    <x v="5"/>
    <x v="5"/>
    <n v="99999"/>
    <s v="USA"/>
    <x v="4"/>
    <x v="2"/>
    <d v="2014-06-08T00:00:00"/>
    <s v="Shipping Company B"/>
    <s v="Francisco Pérez-Olaeta"/>
    <s v="123 6th Street"/>
    <x v="5"/>
    <s v="WI"/>
    <n v="99999"/>
    <s v="USA"/>
    <s v="Credit Card"/>
    <x v="7"/>
    <x v="3"/>
    <n v="12.75"/>
    <n v="96"/>
    <x v="146"/>
    <n v="123.62400000000001"/>
  </r>
  <r>
    <n v="1180"/>
    <x v="67"/>
    <x v="3"/>
    <x v="3"/>
    <x v="3"/>
    <x v="2"/>
    <x v="2"/>
    <n v="99999"/>
    <s v="USA"/>
    <x v="2"/>
    <x v="2"/>
    <d v="2014-06-10T00:00:00"/>
    <s v="Shipping Company B"/>
    <s v="Elizabeth Andersen"/>
    <s v="123 8th Street"/>
    <x v="2"/>
    <s v="OR"/>
    <n v="99999"/>
    <s v="USA"/>
    <s v="Check"/>
    <x v="7"/>
    <x v="3"/>
    <n v="12.75"/>
    <n v="92"/>
    <x v="147"/>
    <n v="116.12700000000001"/>
  </r>
  <r>
    <n v="1181"/>
    <x v="68"/>
    <x v="13"/>
    <x v="13"/>
    <x v="13"/>
    <x v="7"/>
    <x v="7"/>
    <n v="99999"/>
    <s v="USA"/>
    <x v="6"/>
    <x v="1"/>
    <d v="2014-06-27T00:00:00"/>
    <s v="Shipping Company A"/>
    <s v="John Rodman"/>
    <s v="789 25th Street"/>
    <x v="7"/>
    <s v="IL"/>
    <n v="99999"/>
    <s v="USA"/>
    <s v="Cash"/>
    <x v="12"/>
    <x v="7"/>
    <n v="22"/>
    <n v="93"/>
    <x v="148"/>
    <n v="200.50800000000001"/>
  </r>
  <r>
    <n v="1182"/>
    <x v="69"/>
    <x v="14"/>
    <x v="14"/>
    <x v="14"/>
    <x v="9"/>
    <x v="9"/>
    <n v="99999"/>
    <s v="USA"/>
    <x v="5"/>
    <x v="3"/>
    <d v="2014-06-28T00:00:00"/>
    <s v="Shipping Company C"/>
    <s v="Run Liu"/>
    <s v="789 26th Street"/>
    <x v="9"/>
    <s v="FL"/>
    <n v="99999"/>
    <s v="USA"/>
    <s v="Credit Card"/>
    <x v="11"/>
    <x v="6"/>
    <n v="25"/>
    <n v="18"/>
    <x v="149"/>
    <n v="42.75"/>
  </r>
  <r>
    <n v="1183"/>
    <x v="70"/>
    <x v="4"/>
    <x v="4"/>
    <x v="4"/>
    <x v="3"/>
    <x v="3"/>
    <n v="99999"/>
    <s v="USA"/>
    <x v="3"/>
    <x v="0"/>
    <d v="2014-07-01T00:00:00"/>
    <s v="Shipping Company B"/>
    <s v="Soo Jung Lee"/>
    <s v="789 29th Street"/>
    <x v="3"/>
    <s v="CO"/>
    <n v="99999"/>
    <s v="USA"/>
    <s v="Check"/>
    <x v="19"/>
    <x v="12"/>
    <n v="39"/>
    <n v="98"/>
    <x v="150"/>
    <n v="397.48800000000006"/>
  </r>
  <r>
    <n v="1184"/>
    <x v="66"/>
    <x v="6"/>
    <x v="6"/>
    <x v="6"/>
    <x v="5"/>
    <x v="5"/>
    <n v="99999"/>
    <s v="USA"/>
    <x v="4"/>
    <x v="2"/>
    <d v="2014-06-08T00:00:00"/>
    <s v="Shipping Company C"/>
    <s v="Francisco Pérez-Olaeta"/>
    <s v="123 6th Street"/>
    <x v="5"/>
    <s v="WI"/>
    <n v="99999"/>
    <s v="USA"/>
    <s v="Check"/>
    <x v="2"/>
    <x v="1"/>
    <n v="30"/>
    <n v="46"/>
    <x v="65"/>
    <n v="135.24"/>
  </r>
  <r>
    <n v="1185"/>
    <x v="66"/>
    <x v="6"/>
    <x v="6"/>
    <x v="6"/>
    <x v="5"/>
    <x v="5"/>
    <n v="99999"/>
    <s v="USA"/>
    <x v="4"/>
    <x v="2"/>
    <d v="2014-06-08T00:00:00"/>
    <s v="Shipping Company C"/>
    <s v="Francisco Pérez-Olaeta"/>
    <s v="123 6th Street"/>
    <x v="5"/>
    <s v="WI"/>
    <n v="99999"/>
    <s v="USA"/>
    <s v="Check"/>
    <x v="3"/>
    <x v="1"/>
    <n v="53"/>
    <n v="14"/>
    <x v="48"/>
    <n v="74.2"/>
  </r>
  <r>
    <n v="1186"/>
    <x v="71"/>
    <x v="1"/>
    <x v="1"/>
    <x v="1"/>
    <x v="1"/>
    <x v="1"/>
    <n v="99999"/>
    <s v="USA"/>
    <x v="1"/>
    <x v="1"/>
    <m/>
    <m/>
    <s v="Christina Lee"/>
    <s v="123 4th Street"/>
    <x v="1"/>
    <s v="NY"/>
    <n v="99999"/>
    <s v="USA"/>
    <m/>
    <x v="20"/>
    <x v="9"/>
    <n v="38"/>
    <n v="85"/>
    <x v="151"/>
    <n v="319.77"/>
  </r>
  <r>
    <n v="1187"/>
    <x v="72"/>
    <x v="5"/>
    <x v="5"/>
    <x v="5"/>
    <x v="4"/>
    <x v="4"/>
    <n v="99999"/>
    <s v="USA"/>
    <x v="0"/>
    <x v="0"/>
    <m/>
    <m/>
    <s v="Thomas Axerr"/>
    <s v="123 3rd Street"/>
    <x v="4"/>
    <s v="CA"/>
    <n v="99999"/>
    <s v="USA"/>
    <m/>
    <x v="10"/>
    <x v="0"/>
    <n v="2.99"/>
    <n v="88"/>
    <x v="76"/>
    <n v="25.522639999999999"/>
  </r>
  <r>
    <n v="1188"/>
    <x v="73"/>
    <x v="11"/>
    <x v="11"/>
    <x v="11"/>
    <x v="10"/>
    <x v="10"/>
    <n v="99999"/>
    <s v="USA"/>
    <x v="2"/>
    <x v="2"/>
    <m/>
    <m/>
    <s v="Anna Bedecs"/>
    <s v="123 1st Street"/>
    <x v="10"/>
    <s v="WA"/>
    <n v="99999"/>
    <s v="USA"/>
    <m/>
    <x v="10"/>
    <x v="0"/>
    <n v="2.99"/>
    <n v="81"/>
    <x v="152"/>
    <n v="23.976810000000004"/>
  </r>
  <r>
    <n v="1189"/>
    <x v="74"/>
    <x v="7"/>
    <x v="7"/>
    <x v="7"/>
    <x v="6"/>
    <x v="6"/>
    <n v="99999"/>
    <s v="USA"/>
    <x v="5"/>
    <x v="3"/>
    <d v="2014-07-30T00:00:00"/>
    <s v="Shipping Company C"/>
    <s v="Amritansh Raghav"/>
    <s v="789 28th Street"/>
    <x v="6"/>
    <s v="TN"/>
    <n v="99999"/>
    <s v="USA"/>
    <s v="Credit Card"/>
    <x v="8"/>
    <x v="4"/>
    <n v="9.65"/>
    <n v="33"/>
    <x v="153"/>
    <n v="30.252749999999999"/>
  </r>
  <r>
    <n v="1190"/>
    <x v="74"/>
    <x v="7"/>
    <x v="7"/>
    <x v="7"/>
    <x v="6"/>
    <x v="6"/>
    <n v="99999"/>
    <s v="USA"/>
    <x v="5"/>
    <x v="3"/>
    <d v="2014-07-30T00:00:00"/>
    <s v="Shipping Company C"/>
    <s v="Amritansh Raghav"/>
    <s v="789 28th Street"/>
    <x v="6"/>
    <s v="TN"/>
    <n v="99999"/>
    <s v="USA"/>
    <s v="Credit Card"/>
    <x v="13"/>
    <x v="8"/>
    <n v="18.399999999999999"/>
    <n v="47"/>
    <x v="154"/>
    <n v="90.804000000000002"/>
  </r>
  <r>
    <n v="1191"/>
    <x v="75"/>
    <x v="12"/>
    <x v="12"/>
    <x v="12"/>
    <x v="11"/>
    <x v="11"/>
    <n v="99999"/>
    <s v="USA"/>
    <x v="7"/>
    <x v="0"/>
    <d v="2014-07-11T00:00:00"/>
    <s v="Shipping Company A"/>
    <s v="Sven Mortensen"/>
    <s v="123 9th Street"/>
    <x v="11"/>
    <s v="UT"/>
    <n v="99999"/>
    <s v="USA"/>
    <s v="Check"/>
    <x v="14"/>
    <x v="9"/>
    <n v="19.5"/>
    <n v="61"/>
    <x v="155"/>
    <n v="123.70800000000001"/>
  </r>
  <r>
    <n v="1192"/>
    <x v="75"/>
    <x v="12"/>
    <x v="12"/>
    <x v="12"/>
    <x v="11"/>
    <x v="11"/>
    <n v="99999"/>
    <s v="USA"/>
    <x v="7"/>
    <x v="0"/>
    <d v="2014-07-11T00:00:00"/>
    <s v="Shipping Company A"/>
    <s v="Sven Mortensen"/>
    <s v="123 9th Street"/>
    <x v="11"/>
    <s v="UT"/>
    <n v="99999"/>
    <s v="USA"/>
    <s v="Check"/>
    <x v="15"/>
    <x v="10"/>
    <n v="34.799999999999997"/>
    <n v="27"/>
    <x v="156"/>
    <n v="95.839199999999991"/>
  </r>
  <r>
    <n v="1193"/>
    <x v="76"/>
    <x v="6"/>
    <x v="6"/>
    <x v="6"/>
    <x v="5"/>
    <x v="5"/>
    <n v="99999"/>
    <s v="USA"/>
    <x v="4"/>
    <x v="2"/>
    <d v="2014-07-08T00:00:00"/>
    <s v="Shipping Company B"/>
    <s v="Francisco Pérez-Olaeta"/>
    <s v="123 6th Street"/>
    <x v="5"/>
    <s v="WI"/>
    <n v="99999"/>
    <s v="USA"/>
    <s v="Credit Card"/>
    <x v="0"/>
    <x v="0"/>
    <n v="14"/>
    <n v="84"/>
    <x v="102"/>
    <n v="118.77600000000001"/>
  </r>
  <r>
    <n v="1194"/>
    <x v="77"/>
    <x v="3"/>
    <x v="3"/>
    <x v="3"/>
    <x v="2"/>
    <x v="2"/>
    <n v="99999"/>
    <s v="USA"/>
    <x v="2"/>
    <x v="2"/>
    <d v="2014-07-10T00:00:00"/>
    <s v="Shipping Company B"/>
    <s v="Elizabeth Andersen"/>
    <s v="123 8th Street"/>
    <x v="2"/>
    <s v="OR"/>
    <n v="99999"/>
    <s v="USA"/>
    <s v="Check"/>
    <x v="9"/>
    <x v="5"/>
    <n v="40"/>
    <n v="91"/>
    <x v="157"/>
    <n v="360.36"/>
  </r>
  <r>
    <n v="1195"/>
    <x v="77"/>
    <x v="3"/>
    <x v="3"/>
    <x v="3"/>
    <x v="2"/>
    <x v="2"/>
    <n v="99999"/>
    <s v="USA"/>
    <x v="2"/>
    <x v="2"/>
    <d v="2014-07-10T00:00:00"/>
    <s v="Shipping Company B"/>
    <s v="Elizabeth Andersen"/>
    <s v="123 8th Street"/>
    <x v="2"/>
    <s v="OR"/>
    <n v="99999"/>
    <s v="USA"/>
    <s v="Check"/>
    <x v="6"/>
    <x v="2"/>
    <n v="9.1999999999999993"/>
    <n v="36"/>
    <x v="158"/>
    <n v="34.444800000000001"/>
  </r>
  <r>
    <n v="1196"/>
    <x v="78"/>
    <x v="13"/>
    <x v="13"/>
    <x v="13"/>
    <x v="7"/>
    <x v="7"/>
    <n v="99999"/>
    <s v="USA"/>
    <x v="6"/>
    <x v="1"/>
    <n v="41847"/>
    <s v="Shipping Company A"/>
    <s v="John Rodman"/>
    <s v="789 25th Street"/>
    <x v="7"/>
    <s v="IL"/>
    <n v="99999"/>
    <s v="USA"/>
    <s v="Cash"/>
    <x v="21"/>
    <x v="2"/>
    <n v="10"/>
    <n v="34"/>
    <x v="159"/>
    <n v="34.340000000000003"/>
  </r>
  <r>
    <n v="1197"/>
    <x v="79"/>
    <x v="14"/>
    <x v="14"/>
    <x v="14"/>
    <x v="9"/>
    <x v="9"/>
    <n v="99999"/>
    <s v="USA"/>
    <x v="5"/>
    <x v="3"/>
    <n v="41848"/>
    <s v="Shipping Company C"/>
    <s v="Run Liu"/>
    <s v="789 26th Street"/>
    <x v="9"/>
    <s v="FL"/>
    <n v="99999"/>
    <s v="USA"/>
    <s v="Credit Card"/>
    <x v="22"/>
    <x v="13"/>
    <n v="21.35"/>
    <n v="81"/>
    <x v="160"/>
    <n v="178.12305000000003"/>
  </r>
  <r>
    <n v="1198"/>
    <x v="79"/>
    <x v="14"/>
    <x v="14"/>
    <x v="14"/>
    <x v="9"/>
    <x v="9"/>
    <n v="99999"/>
    <s v="USA"/>
    <x v="5"/>
    <x v="3"/>
    <n v="41848"/>
    <s v="Shipping Company C"/>
    <s v="Run Liu"/>
    <s v="789 26th Street"/>
    <x v="9"/>
    <s v="FL"/>
    <n v="99999"/>
    <s v="USA"/>
    <s v="Credit Card"/>
    <x v="8"/>
    <x v="4"/>
    <n v="9.65"/>
    <n v="25"/>
    <x v="161"/>
    <n v="23.401250000000001"/>
  </r>
  <r>
    <n v="1199"/>
    <x v="79"/>
    <x v="14"/>
    <x v="14"/>
    <x v="14"/>
    <x v="9"/>
    <x v="9"/>
    <n v="99999"/>
    <s v="USA"/>
    <x v="5"/>
    <x v="3"/>
    <n v="41848"/>
    <s v="Shipping Company C"/>
    <s v="Run Liu"/>
    <s v="789 26th Street"/>
    <x v="9"/>
    <s v="FL"/>
    <n v="99999"/>
    <s v="USA"/>
    <s v="Credit Card"/>
    <x v="13"/>
    <x v="8"/>
    <n v="18.399999999999999"/>
    <n v="12"/>
    <x v="162"/>
    <n v="22.08"/>
  </r>
  <r>
    <n v="1200"/>
    <x v="80"/>
    <x v="4"/>
    <x v="4"/>
    <x v="4"/>
    <x v="3"/>
    <x v="3"/>
    <n v="99999"/>
    <s v="USA"/>
    <x v="3"/>
    <x v="0"/>
    <d v="2014-07-31T00:00:00"/>
    <s v="Shipping Company B"/>
    <s v="Soo Jung Lee"/>
    <s v="789 29th Street"/>
    <x v="3"/>
    <s v="CO"/>
    <n v="99999"/>
    <s v="USA"/>
    <s v="Check"/>
    <x v="0"/>
    <x v="0"/>
    <n v="14"/>
    <n v="23"/>
    <x v="163"/>
    <n v="30.912000000000003"/>
  </r>
  <r>
    <n v="1201"/>
    <x v="76"/>
    <x v="6"/>
    <x v="6"/>
    <x v="6"/>
    <x v="5"/>
    <x v="5"/>
    <n v="99999"/>
    <s v="USA"/>
    <x v="4"/>
    <x v="2"/>
    <d v="2014-07-08T00:00:00"/>
    <s v="Shipping Company C"/>
    <s v="Francisco Pérez-Olaeta"/>
    <s v="123 6th Street"/>
    <x v="5"/>
    <s v="WI"/>
    <n v="99999"/>
    <s v="USA"/>
    <s v="Check"/>
    <x v="7"/>
    <x v="3"/>
    <n v="12.75"/>
    <n v="76"/>
    <x v="164"/>
    <n v="97.869"/>
  </r>
  <r>
    <n v="1203"/>
    <x v="81"/>
    <x v="1"/>
    <x v="1"/>
    <x v="1"/>
    <x v="1"/>
    <x v="1"/>
    <n v="99999"/>
    <s v="USA"/>
    <x v="1"/>
    <x v="1"/>
    <d v="2014-07-06T00:00:00"/>
    <s v="Shipping Company A"/>
    <s v="Christina Lee"/>
    <s v="123 4th Street"/>
    <x v="1"/>
    <s v="NY"/>
    <n v="99999"/>
    <s v="USA"/>
    <s v="Credit Card"/>
    <x v="23"/>
    <x v="6"/>
    <n v="81"/>
    <n v="55"/>
    <x v="165"/>
    <n v="445.5"/>
  </r>
  <r>
    <n v="1204"/>
    <x v="81"/>
    <x v="1"/>
    <x v="1"/>
    <x v="1"/>
    <x v="1"/>
    <x v="1"/>
    <n v="99999"/>
    <s v="USA"/>
    <x v="1"/>
    <x v="1"/>
    <d v="2014-07-06T00:00:00"/>
    <s v="Shipping Company A"/>
    <s v="Christina Lee"/>
    <s v="123 4th Street"/>
    <x v="1"/>
    <s v="NY"/>
    <n v="99999"/>
    <s v="USA"/>
    <s v="Credit Card"/>
    <x v="24"/>
    <x v="14"/>
    <n v="7"/>
    <n v="19"/>
    <x v="166"/>
    <n v="12.901"/>
  </r>
  <r>
    <n v="1206"/>
    <x v="77"/>
    <x v="3"/>
    <x v="3"/>
    <x v="3"/>
    <x v="2"/>
    <x v="2"/>
    <n v="99999"/>
    <s v="USA"/>
    <x v="2"/>
    <x v="2"/>
    <d v="2014-07-10T00:00:00"/>
    <s v="Shipping Company C"/>
    <s v="Elizabeth Andersen"/>
    <s v="123 8th Street"/>
    <x v="2"/>
    <s v="OR"/>
    <n v="99999"/>
    <s v="USA"/>
    <s v="Credit Card"/>
    <x v="15"/>
    <x v="10"/>
    <n v="34.799999999999997"/>
    <n v="27"/>
    <x v="156"/>
    <n v="89.261999999999986"/>
  </r>
  <r>
    <n v="1209"/>
    <x v="82"/>
    <x v="5"/>
    <x v="5"/>
    <x v="5"/>
    <x v="4"/>
    <x v="4"/>
    <n v="99999"/>
    <s v="USA"/>
    <x v="0"/>
    <x v="0"/>
    <d v="2014-07-05T00:00:00"/>
    <s v="Shipping Company B"/>
    <s v="Thomas Axerr"/>
    <s v="123 3rd Street"/>
    <x v="4"/>
    <s v="CA"/>
    <n v="99999"/>
    <s v="USA"/>
    <s v="Cash"/>
    <x v="16"/>
    <x v="7"/>
    <n v="10"/>
    <n v="99"/>
    <x v="82"/>
    <n v="95.039999999999992"/>
  </r>
  <r>
    <n v="1210"/>
    <x v="82"/>
    <x v="5"/>
    <x v="5"/>
    <x v="5"/>
    <x v="4"/>
    <x v="4"/>
    <n v="99999"/>
    <s v="USA"/>
    <x v="0"/>
    <x v="0"/>
    <d v="2014-07-05T00:00:00"/>
    <s v="Shipping Company B"/>
    <s v="Thomas Axerr"/>
    <s v="123 3rd Street"/>
    <x v="4"/>
    <s v="CA"/>
    <n v="99999"/>
    <s v="USA"/>
    <s v="Cash"/>
    <x v="9"/>
    <x v="5"/>
    <n v="40"/>
    <n v="10"/>
    <x v="167"/>
    <n v="40"/>
  </r>
  <r>
    <n v="1214"/>
    <x v="83"/>
    <x v="8"/>
    <x v="8"/>
    <x v="8"/>
    <x v="7"/>
    <x v="7"/>
    <n v="99999"/>
    <s v="USA"/>
    <x v="6"/>
    <x v="1"/>
    <d v="2014-07-12T00:00:00"/>
    <s v="Shipping Company B"/>
    <s v="Roland Wacker"/>
    <s v="123 10th Street"/>
    <x v="7"/>
    <s v="IL"/>
    <n v="99999"/>
    <s v="USA"/>
    <s v="Credit Card"/>
    <x v="18"/>
    <x v="1"/>
    <n v="10"/>
    <n v="80"/>
    <x v="168"/>
    <n v="77.599999999999994"/>
  </r>
  <r>
    <n v="1216"/>
    <x v="83"/>
    <x v="8"/>
    <x v="8"/>
    <x v="8"/>
    <x v="7"/>
    <x v="7"/>
    <n v="99999"/>
    <s v="USA"/>
    <x v="6"/>
    <x v="1"/>
    <m/>
    <s v="Shipping Company A"/>
    <s v="Roland Wacker"/>
    <s v="123 10th Street"/>
    <x v="7"/>
    <s v="IL"/>
    <n v="99999"/>
    <s v="USA"/>
    <m/>
    <x v="1"/>
    <x v="1"/>
    <n v="3.5"/>
    <n v="27"/>
    <x v="169"/>
    <n v="9.072000000000001"/>
  </r>
  <r>
    <n v="1217"/>
    <x v="84"/>
    <x v="10"/>
    <x v="10"/>
    <x v="10"/>
    <x v="9"/>
    <x v="9"/>
    <n v="99999"/>
    <s v="USA"/>
    <x v="5"/>
    <x v="3"/>
    <m/>
    <s v="Shipping Company C"/>
    <s v="Peter Krschne"/>
    <s v="123 11th Street"/>
    <x v="9"/>
    <s v="FL"/>
    <n v="99999"/>
    <s v="USA"/>
    <m/>
    <x v="9"/>
    <x v="5"/>
    <n v="40"/>
    <n v="97"/>
    <x v="170"/>
    <n v="380.24"/>
  </r>
  <r>
    <n v="1218"/>
    <x v="73"/>
    <x v="11"/>
    <x v="11"/>
    <x v="11"/>
    <x v="10"/>
    <x v="10"/>
    <n v="99999"/>
    <s v="USA"/>
    <x v="2"/>
    <x v="2"/>
    <m/>
    <s v="Shipping Company C"/>
    <s v="Anna Bedecs"/>
    <s v="123 1st Street"/>
    <x v="10"/>
    <s v="WA"/>
    <n v="99999"/>
    <s v="USA"/>
    <m/>
    <x v="13"/>
    <x v="8"/>
    <n v="18.399999999999999"/>
    <n v="42"/>
    <x v="171"/>
    <n v="80.371200000000002"/>
  </r>
  <r>
    <n v="1219"/>
    <x v="74"/>
    <x v="7"/>
    <x v="7"/>
    <x v="7"/>
    <x v="6"/>
    <x v="6"/>
    <n v="99999"/>
    <s v="USA"/>
    <x v="5"/>
    <x v="3"/>
    <n v="41850"/>
    <s v="Shipping Company C"/>
    <s v="Amritansh Raghav"/>
    <s v="789 28th Street"/>
    <x v="6"/>
    <s v="TN"/>
    <n v="99999"/>
    <s v="USA"/>
    <s v="Credit Card"/>
    <x v="5"/>
    <x v="0"/>
    <n v="46"/>
    <n v="24"/>
    <x v="15"/>
    <n v="105.98399999999999"/>
  </r>
  <r>
    <n v="1220"/>
    <x v="75"/>
    <x v="12"/>
    <x v="12"/>
    <x v="12"/>
    <x v="11"/>
    <x v="11"/>
    <n v="99999"/>
    <s v="USA"/>
    <x v="7"/>
    <x v="0"/>
    <d v="2014-07-11T00:00:00"/>
    <s v="Shipping Company A"/>
    <s v="Sven Mortensen"/>
    <s v="123 9th Street"/>
    <x v="11"/>
    <s v="UT"/>
    <n v="99999"/>
    <s v="USA"/>
    <s v="Check"/>
    <x v="8"/>
    <x v="4"/>
    <n v="9.65"/>
    <n v="90"/>
    <x v="172"/>
    <n v="83.376000000000005"/>
  </r>
  <r>
    <n v="1221"/>
    <x v="76"/>
    <x v="6"/>
    <x v="6"/>
    <x v="6"/>
    <x v="5"/>
    <x v="5"/>
    <n v="99999"/>
    <s v="USA"/>
    <x v="4"/>
    <x v="2"/>
    <d v="2014-07-08T00:00:00"/>
    <s v="Shipping Company B"/>
    <s v="Francisco Pérez-Olaeta"/>
    <s v="123 6th Street"/>
    <x v="5"/>
    <s v="WI"/>
    <n v="99999"/>
    <s v="USA"/>
    <s v="Credit Card"/>
    <x v="7"/>
    <x v="3"/>
    <n v="12.75"/>
    <n v="28"/>
    <x v="173"/>
    <n v="35.700000000000003"/>
  </r>
  <r>
    <n v="1222"/>
    <x v="85"/>
    <x v="7"/>
    <x v="7"/>
    <x v="7"/>
    <x v="6"/>
    <x v="6"/>
    <n v="99999"/>
    <s v="USA"/>
    <x v="5"/>
    <x v="3"/>
    <d v="2014-08-30T00:00:00"/>
    <s v="Shipping Company C"/>
    <s v="Amritansh Raghav"/>
    <s v="789 28th Street"/>
    <x v="6"/>
    <s v="TN"/>
    <n v="99999"/>
    <s v="USA"/>
    <s v="Check"/>
    <x v="5"/>
    <x v="0"/>
    <n v="46"/>
    <n v="28"/>
    <x v="174"/>
    <n v="133.95200000000003"/>
  </r>
  <r>
    <n v="1223"/>
    <x v="86"/>
    <x v="3"/>
    <x v="3"/>
    <x v="3"/>
    <x v="2"/>
    <x v="2"/>
    <n v="99999"/>
    <s v="USA"/>
    <x v="2"/>
    <x v="2"/>
    <d v="2014-08-10T00:00:00"/>
    <s v="Shipping Company C"/>
    <s v="Elizabeth Andersen"/>
    <s v="123 8th Street"/>
    <x v="2"/>
    <s v="OR"/>
    <n v="99999"/>
    <s v="USA"/>
    <s v="Check"/>
    <x v="7"/>
    <x v="3"/>
    <n v="12.75"/>
    <n v="57"/>
    <x v="175"/>
    <n v="69.768000000000001"/>
  </r>
  <r>
    <n v="1224"/>
    <x v="87"/>
    <x v="8"/>
    <x v="8"/>
    <x v="8"/>
    <x v="7"/>
    <x v="7"/>
    <n v="99999"/>
    <s v="USA"/>
    <x v="6"/>
    <x v="1"/>
    <d v="2014-08-12T00:00:00"/>
    <s v="Shipping Company B"/>
    <s v="Roland Wacker"/>
    <s v="123 10th Street"/>
    <x v="7"/>
    <s v="IL"/>
    <n v="99999"/>
    <s v="USA"/>
    <s v="Credit Card"/>
    <x v="10"/>
    <x v="0"/>
    <n v="2.99"/>
    <n v="23"/>
    <x v="176"/>
    <n v="6.6706900000000013"/>
  </r>
  <r>
    <n v="1225"/>
    <x v="88"/>
    <x v="9"/>
    <x v="9"/>
    <x v="9"/>
    <x v="8"/>
    <x v="8"/>
    <n v="99999"/>
    <s v="USA"/>
    <x v="2"/>
    <x v="2"/>
    <m/>
    <m/>
    <s v="Ming-Yang Xie"/>
    <s v="123 7th Street"/>
    <x v="8"/>
    <s v="ID"/>
    <n v="99999"/>
    <s v="USA"/>
    <m/>
    <x v="5"/>
    <x v="0"/>
    <n v="46"/>
    <n v="86"/>
    <x v="177"/>
    <n v="399.55600000000004"/>
  </r>
  <r>
    <n v="1226"/>
    <x v="87"/>
    <x v="8"/>
    <x v="8"/>
    <x v="8"/>
    <x v="7"/>
    <x v="7"/>
    <n v="99999"/>
    <s v="USA"/>
    <x v="6"/>
    <x v="1"/>
    <d v="2014-08-12T00:00:00"/>
    <s v="Shipping Company A"/>
    <s v="Roland Wacker"/>
    <s v="123 10th Street"/>
    <x v="7"/>
    <s v="IL"/>
    <n v="99999"/>
    <s v="USA"/>
    <m/>
    <x v="11"/>
    <x v="6"/>
    <n v="25"/>
    <n v="47"/>
    <x v="178"/>
    <n v="116.325"/>
  </r>
  <r>
    <n v="1227"/>
    <x v="87"/>
    <x v="8"/>
    <x v="8"/>
    <x v="8"/>
    <x v="7"/>
    <x v="7"/>
    <n v="99999"/>
    <s v="USA"/>
    <x v="6"/>
    <x v="1"/>
    <d v="2014-08-12T00:00:00"/>
    <s v="Shipping Company A"/>
    <s v="Roland Wacker"/>
    <s v="123 10th Street"/>
    <x v="7"/>
    <s v="IL"/>
    <n v="99999"/>
    <s v="USA"/>
    <m/>
    <x v="12"/>
    <x v="7"/>
    <n v="22"/>
    <n v="97"/>
    <x v="179"/>
    <n v="221.93600000000001"/>
  </r>
  <r>
    <n v="1228"/>
    <x v="87"/>
    <x v="8"/>
    <x v="8"/>
    <x v="8"/>
    <x v="7"/>
    <x v="7"/>
    <n v="99999"/>
    <s v="USA"/>
    <x v="6"/>
    <x v="1"/>
    <d v="2014-08-12T00:00:00"/>
    <s v="Shipping Company A"/>
    <s v="Roland Wacker"/>
    <s v="123 10th Street"/>
    <x v="7"/>
    <s v="IL"/>
    <n v="99999"/>
    <s v="USA"/>
    <m/>
    <x v="6"/>
    <x v="2"/>
    <n v="9.1999999999999993"/>
    <n v="96"/>
    <x v="180"/>
    <n v="86.553599999999989"/>
  </r>
  <r>
    <n v="1229"/>
    <x v="89"/>
    <x v="10"/>
    <x v="10"/>
    <x v="10"/>
    <x v="9"/>
    <x v="9"/>
    <n v="99999"/>
    <s v="USA"/>
    <x v="5"/>
    <x v="3"/>
    <m/>
    <s v="Shipping Company C"/>
    <s v="Peter Krschne"/>
    <s v="123 11th Street"/>
    <x v="9"/>
    <s v="FL"/>
    <n v="99999"/>
    <s v="USA"/>
    <m/>
    <x v="1"/>
    <x v="1"/>
    <n v="3.5"/>
    <n v="31"/>
    <x v="181"/>
    <n v="10.850000000000001"/>
  </r>
  <r>
    <n v="1230"/>
    <x v="89"/>
    <x v="10"/>
    <x v="10"/>
    <x v="10"/>
    <x v="9"/>
    <x v="9"/>
    <n v="99999"/>
    <s v="USA"/>
    <x v="5"/>
    <x v="3"/>
    <m/>
    <s v="Shipping Company C"/>
    <s v="Peter Krschne"/>
    <s v="123 11th Street"/>
    <x v="9"/>
    <s v="FL"/>
    <n v="99999"/>
    <s v="USA"/>
    <m/>
    <x v="10"/>
    <x v="0"/>
    <n v="2.99"/>
    <n v="52"/>
    <x v="182"/>
    <n v="16.014440000000004"/>
  </r>
  <r>
    <n v="1231"/>
    <x v="90"/>
    <x v="11"/>
    <x v="11"/>
    <x v="11"/>
    <x v="10"/>
    <x v="10"/>
    <n v="99999"/>
    <s v="USA"/>
    <x v="2"/>
    <x v="2"/>
    <m/>
    <m/>
    <s v="Anna Bedecs"/>
    <s v="123 1st Street"/>
    <x v="10"/>
    <s v="WA"/>
    <n v="99999"/>
    <s v="USA"/>
    <m/>
    <x v="4"/>
    <x v="0"/>
    <n v="18"/>
    <n v="91"/>
    <x v="183"/>
    <n v="158.886"/>
  </r>
  <r>
    <n v="1232"/>
    <x v="90"/>
    <x v="11"/>
    <x v="11"/>
    <x v="11"/>
    <x v="10"/>
    <x v="10"/>
    <n v="99999"/>
    <s v="USA"/>
    <x v="2"/>
    <x v="2"/>
    <m/>
    <m/>
    <s v="Anna Bedecs"/>
    <s v="123 1st Street"/>
    <x v="10"/>
    <s v="WA"/>
    <n v="99999"/>
    <s v="USA"/>
    <m/>
    <x v="5"/>
    <x v="0"/>
    <n v="46"/>
    <n v="14"/>
    <x v="184"/>
    <n v="63.756000000000007"/>
  </r>
  <r>
    <n v="1233"/>
    <x v="90"/>
    <x v="11"/>
    <x v="11"/>
    <x v="11"/>
    <x v="10"/>
    <x v="10"/>
    <n v="99999"/>
    <s v="USA"/>
    <x v="2"/>
    <x v="2"/>
    <m/>
    <m/>
    <s v="Anna Bedecs"/>
    <s v="123 1st Street"/>
    <x v="10"/>
    <s v="WA"/>
    <n v="99999"/>
    <s v="USA"/>
    <m/>
    <x v="10"/>
    <x v="0"/>
    <n v="2.99"/>
    <n v="44"/>
    <x v="185"/>
    <n v="13.287560000000001"/>
  </r>
  <r>
    <n v="1234"/>
    <x v="85"/>
    <x v="7"/>
    <x v="7"/>
    <x v="7"/>
    <x v="6"/>
    <x v="6"/>
    <n v="99999"/>
    <s v="USA"/>
    <x v="5"/>
    <x v="3"/>
    <d v="2014-08-30T00:00:00"/>
    <s v="Shipping Company C"/>
    <s v="Amritansh Raghav"/>
    <s v="789 28th Street"/>
    <x v="6"/>
    <s v="TN"/>
    <n v="99999"/>
    <s v="USA"/>
    <s v="Credit Card"/>
    <x v="8"/>
    <x v="4"/>
    <n v="9.65"/>
    <n v="97"/>
    <x v="53"/>
    <n v="95.477100000000021"/>
  </r>
  <r>
    <n v="1235"/>
    <x v="85"/>
    <x v="7"/>
    <x v="7"/>
    <x v="7"/>
    <x v="6"/>
    <x v="6"/>
    <n v="99999"/>
    <s v="USA"/>
    <x v="5"/>
    <x v="3"/>
    <d v="2014-08-30T00:00:00"/>
    <s v="Shipping Company C"/>
    <s v="Amritansh Raghav"/>
    <s v="789 28th Street"/>
    <x v="6"/>
    <s v="TN"/>
    <n v="99999"/>
    <s v="USA"/>
    <s v="Credit Card"/>
    <x v="13"/>
    <x v="8"/>
    <n v="18.399999999999999"/>
    <n v="80"/>
    <x v="36"/>
    <n v="150.14400000000003"/>
  </r>
  <r>
    <n v="1236"/>
    <x v="91"/>
    <x v="12"/>
    <x v="12"/>
    <x v="12"/>
    <x v="11"/>
    <x v="11"/>
    <n v="99999"/>
    <s v="USA"/>
    <x v="7"/>
    <x v="0"/>
    <d v="2014-08-11T00:00:00"/>
    <s v="Shipping Company A"/>
    <s v="Sven Mortensen"/>
    <s v="123 9th Street"/>
    <x v="11"/>
    <s v="UT"/>
    <n v="99999"/>
    <s v="USA"/>
    <s v="Check"/>
    <x v="14"/>
    <x v="9"/>
    <n v="19.5"/>
    <n v="66"/>
    <x v="186"/>
    <n v="132.56100000000001"/>
  </r>
  <r>
    <n v="1237"/>
    <x v="91"/>
    <x v="12"/>
    <x v="12"/>
    <x v="12"/>
    <x v="11"/>
    <x v="11"/>
    <n v="99999"/>
    <s v="USA"/>
    <x v="7"/>
    <x v="0"/>
    <d v="2014-08-11T00:00:00"/>
    <s v="Shipping Company A"/>
    <s v="Sven Mortensen"/>
    <s v="123 9th Street"/>
    <x v="11"/>
    <s v="UT"/>
    <n v="99999"/>
    <s v="USA"/>
    <s v="Check"/>
    <x v="15"/>
    <x v="10"/>
    <n v="34.799999999999997"/>
    <n v="32"/>
    <x v="187"/>
    <n v="111.36"/>
  </r>
  <r>
    <n v="1238"/>
    <x v="92"/>
    <x v="6"/>
    <x v="6"/>
    <x v="6"/>
    <x v="5"/>
    <x v="5"/>
    <n v="99999"/>
    <s v="USA"/>
    <x v="4"/>
    <x v="2"/>
    <d v="2014-08-08T00:00:00"/>
    <s v="Shipping Company B"/>
    <s v="Francisco Pérez-Olaeta"/>
    <s v="123 6th Street"/>
    <x v="5"/>
    <s v="WI"/>
    <n v="99999"/>
    <s v="USA"/>
    <s v="Credit Card"/>
    <x v="0"/>
    <x v="0"/>
    <n v="14"/>
    <n v="52"/>
    <x v="188"/>
    <n v="72.8"/>
  </r>
  <r>
    <n v="1239"/>
    <x v="86"/>
    <x v="3"/>
    <x v="3"/>
    <x v="3"/>
    <x v="2"/>
    <x v="2"/>
    <n v="99999"/>
    <s v="USA"/>
    <x v="2"/>
    <x v="2"/>
    <d v="2014-08-10T00:00:00"/>
    <s v="Shipping Company B"/>
    <s v="Elizabeth Andersen"/>
    <s v="123 8th Street"/>
    <x v="2"/>
    <s v="OR"/>
    <n v="99999"/>
    <s v="USA"/>
    <s v="Check"/>
    <x v="9"/>
    <x v="5"/>
    <n v="40"/>
    <n v="78"/>
    <x v="189"/>
    <n v="318.24"/>
  </r>
  <r>
    <n v="1240"/>
    <x v="86"/>
    <x v="3"/>
    <x v="3"/>
    <x v="3"/>
    <x v="2"/>
    <x v="2"/>
    <n v="99999"/>
    <s v="USA"/>
    <x v="2"/>
    <x v="2"/>
    <d v="2014-08-10T00:00:00"/>
    <s v="Shipping Company B"/>
    <s v="Elizabeth Andersen"/>
    <s v="123 8th Street"/>
    <x v="2"/>
    <s v="OR"/>
    <n v="99999"/>
    <s v="USA"/>
    <s v="Check"/>
    <x v="6"/>
    <x v="2"/>
    <n v="9.1999999999999993"/>
    <n v="54"/>
    <x v="190"/>
    <n v="49.183199999999999"/>
  </r>
  <r>
    <n v="1241"/>
    <x v="93"/>
    <x v="13"/>
    <x v="13"/>
    <x v="13"/>
    <x v="7"/>
    <x v="7"/>
    <n v="99999"/>
    <s v="USA"/>
    <x v="6"/>
    <x v="1"/>
    <d v="2014-08-27T00:00:00"/>
    <s v="Shipping Company A"/>
    <s v="John Rodman"/>
    <s v="789 25th Street"/>
    <x v="7"/>
    <s v="IL"/>
    <n v="99999"/>
    <s v="USA"/>
    <s v="Cash"/>
    <x v="21"/>
    <x v="2"/>
    <n v="10"/>
    <n v="55"/>
    <x v="62"/>
    <n v="52.25"/>
  </r>
  <r>
    <n v="1242"/>
    <x v="94"/>
    <x v="14"/>
    <x v="14"/>
    <x v="14"/>
    <x v="9"/>
    <x v="9"/>
    <n v="99999"/>
    <s v="USA"/>
    <x v="5"/>
    <x v="3"/>
    <d v="2014-08-28T00:00:00"/>
    <s v="Shipping Company C"/>
    <s v="Run Liu"/>
    <s v="789 26th Street"/>
    <x v="9"/>
    <s v="FL"/>
    <n v="99999"/>
    <s v="USA"/>
    <s v="Credit Card"/>
    <x v="22"/>
    <x v="13"/>
    <n v="21.35"/>
    <n v="60"/>
    <x v="191"/>
    <n v="129.381"/>
  </r>
  <r>
    <n v="1243"/>
    <x v="94"/>
    <x v="14"/>
    <x v="14"/>
    <x v="14"/>
    <x v="9"/>
    <x v="9"/>
    <n v="99999"/>
    <s v="USA"/>
    <x v="5"/>
    <x v="3"/>
    <d v="2014-08-28T00:00:00"/>
    <s v="Shipping Company C"/>
    <s v="Run Liu"/>
    <s v="789 26th Street"/>
    <x v="9"/>
    <s v="FL"/>
    <n v="99999"/>
    <s v="USA"/>
    <s v="Credit Card"/>
    <x v="8"/>
    <x v="4"/>
    <n v="9.65"/>
    <n v="19"/>
    <x v="192"/>
    <n v="17.41825"/>
  </r>
  <r>
    <n v="1244"/>
    <x v="94"/>
    <x v="14"/>
    <x v="14"/>
    <x v="14"/>
    <x v="9"/>
    <x v="9"/>
    <n v="99999"/>
    <s v="USA"/>
    <x v="5"/>
    <x v="3"/>
    <d v="2014-08-28T00:00:00"/>
    <s v="Shipping Company C"/>
    <s v="Run Liu"/>
    <s v="789 26th Street"/>
    <x v="9"/>
    <s v="FL"/>
    <n v="99999"/>
    <s v="USA"/>
    <s v="Credit Card"/>
    <x v="13"/>
    <x v="8"/>
    <n v="18.399999999999999"/>
    <n v="66"/>
    <x v="193"/>
    <n v="125.08320000000001"/>
  </r>
  <r>
    <n v="1245"/>
    <x v="95"/>
    <x v="4"/>
    <x v="4"/>
    <x v="4"/>
    <x v="3"/>
    <x v="3"/>
    <n v="99999"/>
    <s v="USA"/>
    <x v="3"/>
    <x v="0"/>
    <d v="2014-08-31T00:00:00"/>
    <s v="Shipping Company B"/>
    <s v="Soo Jung Lee"/>
    <s v="789 29th Street"/>
    <x v="3"/>
    <s v="CO"/>
    <n v="99999"/>
    <s v="USA"/>
    <s v="Check"/>
    <x v="0"/>
    <x v="0"/>
    <n v="14"/>
    <n v="42"/>
    <x v="194"/>
    <n v="59.388000000000005"/>
  </r>
  <r>
    <n v="1246"/>
    <x v="92"/>
    <x v="6"/>
    <x v="6"/>
    <x v="6"/>
    <x v="5"/>
    <x v="5"/>
    <n v="99999"/>
    <s v="USA"/>
    <x v="4"/>
    <x v="2"/>
    <n v="41859"/>
    <s v="Shipping Company C"/>
    <s v="Francisco Pérez-Olaeta"/>
    <s v="123 6th Street"/>
    <x v="5"/>
    <s v="WI"/>
    <n v="99999"/>
    <s v="USA"/>
    <s v="Check"/>
    <x v="7"/>
    <x v="3"/>
    <n v="12.75"/>
    <n v="72"/>
    <x v="195"/>
    <n v="89.046000000000006"/>
  </r>
  <r>
    <n v="1248"/>
    <x v="96"/>
    <x v="1"/>
    <x v="1"/>
    <x v="1"/>
    <x v="1"/>
    <x v="1"/>
    <n v="99999"/>
    <s v="USA"/>
    <x v="1"/>
    <x v="1"/>
    <n v="41857"/>
    <s v="Shipping Company A"/>
    <s v="Christina Lee"/>
    <s v="123 4th Street"/>
    <x v="1"/>
    <s v="NY"/>
    <n v="99999"/>
    <s v="USA"/>
    <s v="Credit Card"/>
    <x v="23"/>
    <x v="6"/>
    <n v="81"/>
    <n v="32"/>
    <x v="196"/>
    <n v="251.42399999999998"/>
  </r>
  <r>
    <n v="1249"/>
    <x v="96"/>
    <x v="1"/>
    <x v="1"/>
    <x v="1"/>
    <x v="1"/>
    <x v="1"/>
    <n v="99999"/>
    <s v="USA"/>
    <x v="1"/>
    <x v="1"/>
    <n v="41857"/>
    <s v="Shipping Company A"/>
    <s v="Christina Lee"/>
    <s v="123 4th Street"/>
    <x v="1"/>
    <s v="NY"/>
    <n v="99999"/>
    <s v="USA"/>
    <s v="Credit Card"/>
    <x v="24"/>
    <x v="14"/>
    <n v="7"/>
    <n v="76"/>
    <x v="197"/>
    <n v="53.732000000000006"/>
  </r>
  <r>
    <n v="1250"/>
    <x v="97"/>
    <x v="8"/>
    <x v="8"/>
    <x v="8"/>
    <x v="7"/>
    <x v="7"/>
    <n v="99999"/>
    <s v="USA"/>
    <x v="6"/>
    <x v="1"/>
    <n v="41894"/>
    <s v="Shipping Company A"/>
    <s v="Roland Wacker"/>
    <s v="123 10th Street"/>
    <x v="7"/>
    <s v="IL"/>
    <n v="99999"/>
    <s v="USA"/>
    <m/>
    <x v="6"/>
    <x v="2"/>
    <n v="9.1999999999999993"/>
    <n v="83"/>
    <x v="198"/>
    <n v="74.832799999999992"/>
  </r>
  <r>
    <n v="1251"/>
    <x v="98"/>
    <x v="10"/>
    <x v="10"/>
    <x v="10"/>
    <x v="9"/>
    <x v="9"/>
    <n v="99999"/>
    <s v="USA"/>
    <x v="5"/>
    <x v="3"/>
    <m/>
    <s v="Shipping Company C"/>
    <s v="Peter Krschne"/>
    <s v="123 11th Street"/>
    <x v="9"/>
    <s v="FL"/>
    <n v="99999"/>
    <s v="USA"/>
    <m/>
    <x v="1"/>
    <x v="1"/>
    <n v="3.5"/>
    <n v="91"/>
    <x v="199"/>
    <n v="31.213000000000001"/>
  </r>
  <r>
    <n v="1252"/>
    <x v="98"/>
    <x v="10"/>
    <x v="10"/>
    <x v="10"/>
    <x v="9"/>
    <x v="9"/>
    <n v="99999"/>
    <s v="USA"/>
    <x v="5"/>
    <x v="3"/>
    <m/>
    <s v="Shipping Company C"/>
    <s v="Peter Krschne"/>
    <s v="123 11th Street"/>
    <x v="9"/>
    <s v="FL"/>
    <n v="99999"/>
    <s v="USA"/>
    <m/>
    <x v="10"/>
    <x v="0"/>
    <n v="2.99"/>
    <n v="64"/>
    <x v="200"/>
    <n v="19.518720000000002"/>
  </r>
  <r>
    <n v="1253"/>
    <x v="99"/>
    <x v="11"/>
    <x v="11"/>
    <x v="11"/>
    <x v="10"/>
    <x v="10"/>
    <n v="99999"/>
    <s v="USA"/>
    <x v="2"/>
    <x v="2"/>
    <m/>
    <m/>
    <s v="Anna Bedecs"/>
    <s v="123 1st Street"/>
    <x v="10"/>
    <s v="WA"/>
    <n v="99999"/>
    <s v="USA"/>
    <m/>
    <x v="4"/>
    <x v="0"/>
    <n v="18"/>
    <n v="58"/>
    <x v="137"/>
    <n v="103.35600000000001"/>
  </r>
  <r>
    <n v="1254"/>
    <x v="99"/>
    <x v="11"/>
    <x v="11"/>
    <x v="11"/>
    <x v="10"/>
    <x v="10"/>
    <n v="99999"/>
    <s v="USA"/>
    <x v="2"/>
    <x v="2"/>
    <m/>
    <m/>
    <s v="Anna Bedecs"/>
    <s v="123 1st Street"/>
    <x v="10"/>
    <s v="WA"/>
    <n v="99999"/>
    <s v="USA"/>
    <m/>
    <x v="5"/>
    <x v="0"/>
    <n v="46"/>
    <n v="97"/>
    <x v="201"/>
    <n v="464.04800000000006"/>
  </r>
  <r>
    <n v="1255"/>
    <x v="99"/>
    <x v="11"/>
    <x v="11"/>
    <x v="11"/>
    <x v="10"/>
    <x v="10"/>
    <n v="99999"/>
    <s v="USA"/>
    <x v="2"/>
    <x v="2"/>
    <m/>
    <m/>
    <s v="Anna Bedecs"/>
    <s v="123 1st Street"/>
    <x v="10"/>
    <s v="WA"/>
    <n v="99999"/>
    <s v="USA"/>
    <m/>
    <x v="10"/>
    <x v="0"/>
    <n v="2.99"/>
    <n v="14"/>
    <x v="202"/>
    <n v="4.35344"/>
  </r>
  <r>
    <n v="1256"/>
    <x v="100"/>
    <x v="7"/>
    <x v="7"/>
    <x v="7"/>
    <x v="6"/>
    <x v="6"/>
    <n v="99999"/>
    <s v="USA"/>
    <x v="5"/>
    <x v="3"/>
    <d v="2014-09-30T00:00:00"/>
    <s v="Shipping Company C"/>
    <s v="Amritansh Raghav"/>
    <s v="789 28th Street"/>
    <x v="6"/>
    <s v="TN"/>
    <n v="99999"/>
    <s v="USA"/>
    <s v="Credit Card"/>
    <x v="8"/>
    <x v="4"/>
    <n v="9.65"/>
    <n v="68"/>
    <x v="203"/>
    <n v="64.307600000000008"/>
  </r>
  <r>
    <n v="1257"/>
    <x v="100"/>
    <x v="7"/>
    <x v="7"/>
    <x v="7"/>
    <x v="6"/>
    <x v="6"/>
    <n v="99999"/>
    <s v="USA"/>
    <x v="5"/>
    <x v="3"/>
    <n v="41912"/>
    <s v="Shipping Company C"/>
    <s v="Amritansh Raghav"/>
    <s v="789 28th Street"/>
    <x v="6"/>
    <s v="TN"/>
    <n v="99999"/>
    <s v="USA"/>
    <s v="Credit Card"/>
    <x v="13"/>
    <x v="8"/>
    <n v="18.399999999999999"/>
    <n v="32"/>
    <x v="204"/>
    <n v="58.879999999999995"/>
  </r>
  <r>
    <n v="1258"/>
    <x v="101"/>
    <x v="12"/>
    <x v="12"/>
    <x v="12"/>
    <x v="11"/>
    <x v="11"/>
    <n v="99999"/>
    <s v="USA"/>
    <x v="7"/>
    <x v="0"/>
    <d v="2014-09-11T00:00:00"/>
    <s v="Shipping Company A"/>
    <s v="Sven Mortensen"/>
    <s v="123 9th Street"/>
    <x v="11"/>
    <s v="UT"/>
    <n v="99999"/>
    <s v="USA"/>
    <s v="Check"/>
    <x v="14"/>
    <x v="9"/>
    <n v="19.5"/>
    <n v="48"/>
    <x v="205"/>
    <n v="94.536000000000016"/>
  </r>
  <r>
    <n v="1259"/>
    <x v="101"/>
    <x v="12"/>
    <x v="12"/>
    <x v="12"/>
    <x v="11"/>
    <x v="11"/>
    <n v="99999"/>
    <s v="USA"/>
    <x v="7"/>
    <x v="0"/>
    <d v="2014-09-11T00:00:00"/>
    <s v="Shipping Company A"/>
    <s v="Sven Mortensen"/>
    <s v="123 9th Street"/>
    <x v="11"/>
    <s v="UT"/>
    <n v="99999"/>
    <s v="USA"/>
    <s v="Check"/>
    <x v="15"/>
    <x v="10"/>
    <n v="34.799999999999997"/>
    <n v="57"/>
    <x v="206"/>
    <n v="194.39280000000002"/>
  </r>
  <r>
    <n v="1260"/>
    <x v="102"/>
    <x v="6"/>
    <x v="6"/>
    <x v="6"/>
    <x v="5"/>
    <x v="5"/>
    <n v="99999"/>
    <s v="USA"/>
    <x v="4"/>
    <x v="2"/>
    <d v="2014-09-08T00:00:00"/>
    <s v="Shipping Company B"/>
    <s v="Francisco Pérez-Olaeta"/>
    <s v="123 6th Street"/>
    <x v="5"/>
    <s v="WI"/>
    <n v="99999"/>
    <s v="USA"/>
    <s v="Credit Card"/>
    <x v="0"/>
    <x v="0"/>
    <n v="14"/>
    <n v="67"/>
    <x v="207"/>
    <n v="98.490000000000009"/>
  </r>
  <r>
    <n v="1261"/>
    <x v="103"/>
    <x v="3"/>
    <x v="3"/>
    <x v="3"/>
    <x v="2"/>
    <x v="2"/>
    <n v="99999"/>
    <s v="USA"/>
    <x v="2"/>
    <x v="2"/>
    <n v="41892"/>
    <s v="Shipping Company B"/>
    <s v="Elizabeth Andersen"/>
    <s v="123 8th Street"/>
    <x v="2"/>
    <s v="OR"/>
    <n v="99999"/>
    <s v="USA"/>
    <s v="Check"/>
    <x v="9"/>
    <x v="5"/>
    <n v="40"/>
    <n v="48"/>
    <x v="208"/>
    <n v="188.16"/>
  </r>
  <r>
    <n v="1262"/>
    <x v="103"/>
    <x v="3"/>
    <x v="3"/>
    <x v="3"/>
    <x v="2"/>
    <x v="2"/>
    <n v="99999"/>
    <s v="USA"/>
    <x v="2"/>
    <x v="2"/>
    <n v="41892"/>
    <s v="Shipping Company B"/>
    <s v="Elizabeth Andersen"/>
    <s v="123 8th Street"/>
    <x v="2"/>
    <s v="OR"/>
    <n v="99999"/>
    <s v="USA"/>
    <s v="Check"/>
    <x v="6"/>
    <x v="2"/>
    <n v="9.1999999999999993"/>
    <n v="77"/>
    <x v="209"/>
    <n v="72.256799999999998"/>
  </r>
  <r>
    <n v="1263"/>
    <x v="104"/>
    <x v="13"/>
    <x v="13"/>
    <x v="13"/>
    <x v="7"/>
    <x v="7"/>
    <n v="99999"/>
    <s v="USA"/>
    <x v="6"/>
    <x v="1"/>
    <n v="41909"/>
    <s v="Shipping Company A"/>
    <s v="John Rodman"/>
    <s v="789 25th Street"/>
    <x v="7"/>
    <s v="IL"/>
    <n v="99999"/>
    <s v="USA"/>
    <s v="Cash"/>
    <x v="21"/>
    <x v="2"/>
    <n v="10"/>
    <n v="94"/>
    <x v="210"/>
    <n v="97.76"/>
  </r>
  <r>
    <n v="1264"/>
    <x v="105"/>
    <x v="14"/>
    <x v="14"/>
    <x v="14"/>
    <x v="9"/>
    <x v="9"/>
    <n v="99999"/>
    <s v="USA"/>
    <x v="5"/>
    <x v="3"/>
    <n v="41910"/>
    <s v="Shipping Company C"/>
    <s v="Run Liu"/>
    <s v="789 26th Street"/>
    <x v="9"/>
    <s v="FL"/>
    <n v="99999"/>
    <s v="USA"/>
    <s v="Credit Card"/>
    <x v="22"/>
    <x v="13"/>
    <n v="21.35"/>
    <n v="54"/>
    <x v="211"/>
    <n v="121.05450000000003"/>
  </r>
  <r>
    <n v="1265"/>
    <x v="105"/>
    <x v="14"/>
    <x v="14"/>
    <x v="14"/>
    <x v="9"/>
    <x v="9"/>
    <n v="99999"/>
    <s v="USA"/>
    <x v="5"/>
    <x v="3"/>
    <n v="41910"/>
    <s v="Shipping Company C"/>
    <s v="Run Liu"/>
    <s v="789 26th Street"/>
    <x v="9"/>
    <s v="FL"/>
    <n v="99999"/>
    <s v="USA"/>
    <s v="Credit Card"/>
    <x v="8"/>
    <x v="4"/>
    <n v="9.65"/>
    <n v="43"/>
    <x v="84"/>
    <n v="40.250150000000005"/>
  </r>
  <r>
    <n v="1266"/>
    <x v="105"/>
    <x v="14"/>
    <x v="14"/>
    <x v="14"/>
    <x v="9"/>
    <x v="9"/>
    <n v="99999"/>
    <s v="USA"/>
    <x v="5"/>
    <x v="3"/>
    <d v="2014-09-28T00:00:00"/>
    <s v="Shipping Company C"/>
    <s v="Run Liu"/>
    <s v="789 26th Street"/>
    <x v="9"/>
    <s v="FL"/>
    <n v="99999"/>
    <s v="USA"/>
    <s v="Credit Card"/>
    <x v="13"/>
    <x v="8"/>
    <n v="18.399999999999999"/>
    <n v="71"/>
    <x v="143"/>
    <n v="134.55919999999998"/>
  </r>
  <r>
    <n v="1267"/>
    <x v="106"/>
    <x v="4"/>
    <x v="4"/>
    <x v="4"/>
    <x v="3"/>
    <x v="3"/>
    <n v="99999"/>
    <s v="USA"/>
    <x v="3"/>
    <x v="0"/>
    <d v="2014-10-01T00:00:00"/>
    <s v="Shipping Company B"/>
    <s v="Soo Jung Lee"/>
    <s v="789 29th Street"/>
    <x v="3"/>
    <s v="CO"/>
    <n v="99999"/>
    <s v="USA"/>
    <s v="Check"/>
    <x v="0"/>
    <x v="0"/>
    <n v="14"/>
    <n v="50"/>
    <x v="212"/>
    <n v="67.2"/>
  </r>
  <r>
    <n v="1268"/>
    <x v="102"/>
    <x v="6"/>
    <x v="6"/>
    <x v="6"/>
    <x v="5"/>
    <x v="5"/>
    <n v="99999"/>
    <s v="USA"/>
    <x v="4"/>
    <x v="2"/>
    <d v="2014-09-08T00:00:00"/>
    <s v="Shipping Company C"/>
    <s v="Francisco Pérez-Olaeta"/>
    <s v="123 6th Street"/>
    <x v="5"/>
    <s v="WI"/>
    <n v="99999"/>
    <s v="USA"/>
    <s v="Check"/>
    <x v="7"/>
    <x v="3"/>
    <n v="12.75"/>
    <n v="96"/>
    <x v="146"/>
    <n v="119.952"/>
  </r>
  <r>
    <n v="1270"/>
    <x v="107"/>
    <x v="1"/>
    <x v="1"/>
    <x v="1"/>
    <x v="1"/>
    <x v="1"/>
    <n v="99999"/>
    <s v="USA"/>
    <x v="1"/>
    <x v="1"/>
    <d v="2014-09-06T00:00:00"/>
    <s v="Shipping Company A"/>
    <s v="Christina Lee"/>
    <s v="123 4th Street"/>
    <x v="1"/>
    <s v="NY"/>
    <n v="99999"/>
    <s v="USA"/>
    <s v="Credit Card"/>
    <x v="23"/>
    <x v="6"/>
    <n v="81"/>
    <n v="54"/>
    <x v="213"/>
    <n v="437.40000000000003"/>
  </r>
  <r>
    <n v="1271"/>
    <x v="107"/>
    <x v="1"/>
    <x v="1"/>
    <x v="1"/>
    <x v="1"/>
    <x v="1"/>
    <n v="99999"/>
    <s v="USA"/>
    <x v="1"/>
    <x v="1"/>
    <d v="2014-09-06T00:00:00"/>
    <s v="Shipping Company A"/>
    <s v="Christina Lee"/>
    <s v="123 4th Street"/>
    <x v="1"/>
    <s v="NY"/>
    <n v="99999"/>
    <s v="USA"/>
    <s v="Credit Card"/>
    <x v="24"/>
    <x v="14"/>
    <n v="7"/>
    <n v="39"/>
    <x v="214"/>
    <n v="27.3"/>
  </r>
  <r>
    <n v="1273"/>
    <x v="103"/>
    <x v="3"/>
    <x v="3"/>
    <x v="3"/>
    <x v="2"/>
    <x v="2"/>
    <n v="99999"/>
    <s v="USA"/>
    <x v="2"/>
    <x v="2"/>
    <d v="2014-09-10T00:00:00"/>
    <s v="Shipping Company C"/>
    <s v="Elizabeth Andersen"/>
    <s v="123 8th Street"/>
    <x v="2"/>
    <s v="OR"/>
    <n v="99999"/>
    <s v="USA"/>
    <s v="Credit Card"/>
    <x v="15"/>
    <x v="10"/>
    <n v="34.799999999999997"/>
    <n v="63"/>
    <x v="59"/>
    <n v="230.202"/>
  </r>
  <r>
    <n v="1276"/>
    <x v="108"/>
    <x v="5"/>
    <x v="5"/>
    <x v="5"/>
    <x v="4"/>
    <x v="4"/>
    <n v="99999"/>
    <s v="USA"/>
    <x v="0"/>
    <x v="0"/>
    <d v="2014-09-05T00:00:00"/>
    <s v="Shipping Company B"/>
    <s v="Thomas Axerr"/>
    <s v="123 3rd Street"/>
    <x v="4"/>
    <s v="CA"/>
    <n v="99999"/>
    <s v="USA"/>
    <s v="Cash"/>
    <x v="16"/>
    <x v="7"/>
    <n v="10"/>
    <n v="71"/>
    <x v="215"/>
    <n v="73.13"/>
  </r>
  <r>
    <n v="1277"/>
    <x v="108"/>
    <x v="5"/>
    <x v="5"/>
    <x v="5"/>
    <x v="4"/>
    <x v="4"/>
    <n v="99999"/>
    <s v="USA"/>
    <x v="0"/>
    <x v="0"/>
    <d v="2014-09-05T00:00:00"/>
    <s v="Shipping Company B"/>
    <s v="Thomas Axerr"/>
    <s v="123 3rd Street"/>
    <x v="4"/>
    <s v="CA"/>
    <n v="99999"/>
    <s v="USA"/>
    <s v="Cash"/>
    <x v="9"/>
    <x v="5"/>
    <n v="40"/>
    <n v="88"/>
    <x v="216"/>
    <n v="366.08000000000004"/>
  </r>
  <r>
    <n v="1281"/>
    <x v="97"/>
    <x v="8"/>
    <x v="8"/>
    <x v="8"/>
    <x v="7"/>
    <x v="7"/>
    <n v="99999"/>
    <s v="USA"/>
    <x v="6"/>
    <x v="1"/>
    <d v="2014-09-12T00:00:00"/>
    <s v="Shipping Company B"/>
    <s v="Roland Wacker"/>
    <s v="123 10th Street"/>
    <x v="7"/>
    <s v="IL"/>
    <n v="99999"/>
    <s v="USA"/>
    <s v="Credit Card"/>
    <x v="18"/>
    <x v="1"/>
    <n v="10"/>
    <n v="59"/>
    <x v="217"/>
    <n v="59.59"/>
  </r>
  <r>
    <n v="1282"/>
    <x v="109"/>
    <x v="6"/>
    <x v="6"/>
    <x v="6"/>
    <x v="5"/>
    <x v="5"/>
    <n v="99999"/>
    <s v="USA"/>
    <x v="4"/>
    <x v="2"/>
    <d v="2014-10-08T00:00:00"/>
    <s v="Shipping Company B"/>
    <s v="Francisco Pérez-Olaeta"/>
    <s v="123 6th Street"/>
    <x v="5"/>
    <s v="WI"/>
    <n v="99999"/>
    <s v="USA"/>
    <s v="Credit Card"/>
    <x v="9"/>
    <x v="5"/>
    <n v="40"/>
    <n v="94"/>
    <x v="218"/>
    <n v="376"/>
  </r>
  <r>
    <n v="1283"/>
    <x v="110"/>
    <x v="7"/>
    <x v="7"/>
    <x v="7"/>
    <x v="6"/>
    <x v="6"/>
    <n v="99999"/>
    <s v="USA"/>
    <x v="5"/>
    <x v="3"/>
    <d v="2014-10-30T00:00:00"/>
    <s v="Shipping Company C"/>
    <s v="Amritansh Raghav"/>
    <s v="789 28th Street"/>
    <x v="6"/>
    <s v="TN"/>
    <n v="99999"/>
    <s v="USA"/>
    <s v="Check"/>
    <x v="5"/>
    <x v="0"/>
    <n v="46"/>
    <n v="86"/>
    <x v="177"/>
    <n v="379.77600000000001"/>
  </r>
  <r>
    <n v="1284"/>
    <x v="111"/>
    <x v="3"/>
    <x v="3"/>
    <x v="3"/>
    <x v="2"/>
    <x v="2"/>
    <n v="99999"/>
    <s v="USA"/>
    <x v="2"/>
    <x v="2"/>
    <d v="2014-10-10T00:00:00"/>
    <s v="Shipping Company C"/>
    <s v="Elizabeth Andersen"/>
    <s v="123 8th Street"/>
    <x v="2"/>
    <s v="OR"/>
    <n v="99999"/>
    <s v="USA"/>
    <s v="Check"/>
    <x v="7"/>
    <x v="3"/>
    <n v="12.75"/>
    <n v="61"/>
    <x v="219"/>
    <n v="78.552750000000003"/>
  </r>
  <r>
    <n v="1285"/>
    <x v="112"/>
    <x v="8"/>
    <x v="8"/>
    <x v="8"/>
    <x v="7"/>
    <x v="7"/>
    <n v="99999"/>
    <s v="USA"/>
    <x v="6"/>
    <x v="1"/>
    <d v="2014-10-12T00:00:00"/>
    <s v="Shipping Company B"/>
    <s v="Roland Wacker"/>
    <s v="123 10th Street"/>
    <x v="7"/>
    <s v="IL"/>
    <n v="99999"/>
    <s v="USA"/>
    <s v="Credit Card"/>
    <x v="10"/>
    <x v="0"/>
    <n v="2.99"/>
    <n v="32"/>
    <x v="220"/>
    <n v="9.7593600000000009"/>
  </r>
  <r>
    <n v="1286"/>
    <x v="113"/>
    <x v="9"/>
    <x v="9"/>
    <x v="9"/>
    <x v="8"/>
    <x v="8"/>
    <n v="99999"/>
    <s v="USA"/>
    <x v="2"/>
    <x v="2"/>
    <m/>
    <m/>
    <s v="Ming-Yang Xie"/>
    <s v="123 7th Street"/>
    <x v="8"/>
    <s v="ID"/>
    <n v="99999"/>
    <s v="USA"/>
    <m/>
    <x v="5"/>
    <x v="0"/>
    <n v="46"/>
    <n v="62"/>
    <x v="221"/>
    <n v="290.904"/>
  </r>
  <r>
    <n v="1287"/>
    <x v="112"/>
    <x v="8"/>
    <x v="8"/>
    <x v="8"/>
    <x v="7"/>
    <x v="7"/>
    <n v="99999"/>
    <s v="USA"/>
    <x v="6"/>
    <x v="1"/>
    <d v="2014-10-12T00:00:00"/>
    <s v="Shipping Company A"/>
    <s v="Roland Wacker"/>
    <s v="123 10th Street"/>
    <x v="7"/>
    <s v="IL"/>
    <n v="99999"/>
    <s v="USA"/>
    <m/>
    <x v="11"/>
    <x v="6"/>
    <n v="25"/>
    <n v="60"/>
    <x v="222"/>
    <n v="154.5"/>
  </r>
  <r>
    <n v="1288"/>
    <x v="112"/>
    <x v="8"/>
    <x v="8"/>
    <x v="8"/>
    <x v="7"/>
    <x v="7"/>
    <n v="99999"/>
    <s v="USA"/>
    <x v="6"/>
    <x v="1"/>
    <d v="2014-10-12T00:00:00"/>
    <s v="Shipping Company A"/>
    <s v="Roland Wacker"/>
    <s v="123 10th Street"/>
    <x v="7"/>
    <s v="IL"/>
    <n v="99999"/>
    <s v="USA"/>
    <m/>
    <x v="12"/>
    <x v="7"/>
    <n v="22"/>
    <n v="51"/>
    <x v="223"/>
    <n v="109.956"/>
  </r>
  <r>
    <n v="1289"/>
    <x v="112"/>
    <x v="8"/>
    <x v="8"/>
    <x v="8"/>
    <x v="7"/>
    <x v="7"/>
    <n v="99999"/>
    <s v="USA"/>
    <x v="6"/>
    <x v="1"/>
    <d v="2014-10-12T00:00:00"/>
    <s v="Shipping Company A"/>
    <s v="Roland Wacker"/>
    <s v="123 10th Street"/>
    <x v="7"/>
    <s v="IL"/>
    <n v="99999"/>
    <s v="USA"/>
    <m/>
    <x v="6"/>
    <x v="2"/>
    <n v="9.1999999999999993"/>
    <n v="49"/>
    <x v="224"/>
    <n v="44.629199999999997"/>
  </r>
  <r>
    <n v="1290"/>
    <x v="114"/>
    <x v="10"/>
    <x v="10"/>
    <x v="10"/>
    <x v="9"/>
    <x v="9"/>
    <n v="99999"/>
    <s v="USA"/>
    <x v="5"/>
    <x v="3"/>
    <m/>
    <s v="Shipping Company C"/>
    <s v="Peter Krschne"/>
    <s v="123 11th Street"/>
    <x v="9"/>
    <s v="FL"/>
    <n v="99999"/>
    <s v="USA"/>
    <m/>
    <x v="1"/>
    <x v="1"/>
    <n v="3.5"/>
    <n v="20"/>
    <x v="225"/>
    <n v="6.93"/>
  </r>
  <r>
    <n v="1291"/>
    <x v="114"/>
    <x v="10"/>
    <x v="10"/>
    <x v="10"/>
    <x v="9"/>
    <x v="9"/>
    <n v="99999"/>
    <s v="USA"/>
    <x v="5"/>
    <x v="3"/>
    <m/>
    <s v="Shipping Company C"/>
    <s v="Peter Krschne"/>
    <s v="123 11th Street"/>
    <x v="9"/>
    <s v="FL"/>
    <n v="99999"/>
    <s v="USA"/>
    <m/>
    <x v="10"/>
    <x v="0"/>
    <n v="2.99"/>
    <n v="49"/>
    <x v="20"/>
    <n v="14.651000000000003"/>
  </r>
  <r>
    <n v="1292"/>
    <x v="115"/>
    <x v="11"/>
    <x v="11"/>
    <x v="11"/>
    <x v="10"/>
    <x v="10"/>
    <n v="99999"/>
    <s v="USA"/>
    <x v="2"/>
    <x v="2"/>
    <m/>
    <m/>
    <s v="Anna Bedecs"/>
    <s v="123 1st Street"/>
    <x v="10"/>
    <s v="WA"/>
    <n v="99999"/>
    <s v="USA"/>
    <m/>
    <x v="4"/>
    <x v="0"/>
    <n v="18"/>
    <n v="22"/>
    <x v="226"/>
    <n v="38.015999999999998"/>
  </r>
  <r>
    <n v="1293"/>
    <x v="115"/>
    <x v="11"/>
    <x v="11"/>
    <x v="11"/>
    <x v="10"/>
    <x v="10"/>
    <n v="99999"/>
    <s v="USA"/>
    <x v="2"/>
    <x v="2"/>
    <m/>
    <m/>
    <s v="Anna Bedecs"/>
    <s v="123 1st Street"/>
    <x v="10"/>
    <s v="WA"/>
    <n v="99999"/>
    <s v="USA"/>
    <m/>
    <x v="5"/>
    <x v="0"/>
    <n v="46"/>
    <n v="73"/>
    <x v="227"/>
    <n v="339.15800000000002"/>
  </r>
  <r>
    <n v="1294"/>
    <x v="115"/>
    <x v="11"/>
    <x v="11"/>
    <x v="11"/>
    <x v="10"/>
    <x v="10"/>
    <n v="99999"/>
    <s v="USA"/>
    <x v="2"/>
    <x v="2"/>
    <m/>
    <m/>
    <s v="Anna Bedecs"/>
    <s v="123 1st Street"/>
    <x v="10"/>
    <s v="WA"/>
    <n v="99999"/>
    <s v="USA"/>
    <m/>
    <x v="10"/>
    <x v="0"/>
    <n v="2.99"/>
    <n v="85"/>
    <x v="228"/>
    <n v="24.652550000000002"/>
  </r>
  <r>
    <n v="1295"/>
    <x v="110"/>
    <x v="7"/>
    <x v="7"/>
    <x v="7"/>
    <x v="6"/>
    <x v="6"/>
    <n v="99999"/>
    <s v="USA"/>
    <x v="5"/>
    <x v="3"/>
    <d v="2014-10-30T00:00:00"/>
    <s v="Shipping Company C"/>
    <s v="Amritansh Raghav"/>
    <s v="789 28th Street"/>
    <x v="6"/>
    <s v="TN"/>
    <n v="99999"/>
    <s v="USA"/>
    <s v="Credit Card"/>
    <x v="8"/>
    <x v="4"/>
    <n v="9.65"/>
    <n v="44"/>
    <x v="229"/>
    <n v="44.158400000000007"/>
  </r>
  <r>
    <n v="1296"/>
    <x v="110"/>
    <x v="7"/>
    <x v="7"/>
    <x v="7"/>
    <x v="6"/>
    <x v="6"/>
    <n v="99999"/>
    <s v="USA"/>
    <x v="5"/>
    <x v="3"/>
    <d v="2014-10-30T00:00:00"/>
    <s v="Shipping Company C"/>
    <s v="Amritansh Raghav"/>
    <s v="789 28th Street"/>
    <x v="6"/>
    <s v="TN"/>
    <n v="99999"/>
    <s v="USA"/>
    <s v="Credit Card"/>
    <x v="13"/>
    <x v="8"/>
    <n v="18.399999999999999"/>
    <n v="24"/>
    <x v="230"/>
    <n v="42.835199999999993"/>
  </r>
  <r>
    <n v="1297"/>
    <x v="116"/>
    <x v="12"/>
    <x v="12"/>
    <x v="12"/>
    <x v="11"/>
    <x v="11"/>
    <n v="99999"/>
    <s v="USA"/>
    <x v="7"/>
    <x v="0"/>
    <d v="2014-10-11T00:00:00"/>
    <s v="Shipping Company A"/>
    <s v="Sven Mortensen"/>
    <s v="123 9th Street"/>
    <x v="11"/>
    <s v="UT"/>
    <n v="99999"/>
    <s v="USA"/>
    <s v="Check"/>
    <x v="14"/>
    <x v="9"/>
    <n v="19.5"/>
    <n v="64"/>
    <x v="231"/>
    <n v="119.80800000000001"/>
  </r>
  <r>
    <n v="1298"/>
    <x v="116"/>
    <x v="12"/>
    <x v="12"/>
    <x v="12"/>
    <x v="11"/>
    <x v="11"/>
    <n v="99999"/>
    <s v="USA"/>
    <x v="7"/>
    <x v="0"/>
    <d v="2014-10-11T00:00:00"/>
    <s v="Shipping Company A"/>
    <s v="Sven Mortensen"/>
    <s v="123 9th Street"/>
    <x v="11"/>
    <s v="UT"/>
    <n v="99999"/>
    <s v="USA"/>
    <s v="Check"/>
    <x v="15"/>
    <x v="10"/>
    <n v="34.799999999999997"/>
    <n v="70"/>
    <x v="232"/>
    <n v="246.03600000000003"/>
  </r>
  <r>
    <n v="1299"/>
    <x v="109"/>
    <x v="6"/>
    <x v="6"/>
    <x v="6"/>
    <x v="5"/>
    <x v="5"/>
    <n v="99999"/>
    <s v="USA"/>
    <x v="4"/>
    <x v="2"/>
    <d v="2014-10-08T00:00:00"/>
    <s v="Shipping Company B"/>
    <s v="Francisco Pérez-Olaeta"/>
    <s v="123 6th Street"/>
    <x v="5"/>
    <s v="WI"/>
    <n v="99999"/>
    <s v="USA"/>
    <s v="Credit Card"/>
    <x v="0"/>
    <x v="0"/>
    <n v="14"/>
    <n v="98"/>
    <x v="233"/>
    <n v="138.57200000000003"/>
  </r>
  <r>
    <n v="1300"/>
    <x v="111"/>
    <x v="3"/>
    <x v="3"/>
    <x v="3"/>
    <x v="2"/>
    <x v="2"/>
    <n v="99999"/>
    <s v="USA"/>
    <x v="2"/>
    <x v="2"/>
    <d v="2014-10-10T00:00:00"/>
    <s v="Shipping Company B"/>
    <s v="Elizabeth Andersen"/>
    <s v="123 8th Street"/>
    <x v="2"/>
    <s v="OR"/>
    <n v="99999"/>
    <s v="USA"/>
    <s v="Check"/>
    <x v="9"/>
    <x v="5"/>
    <n v="40"/>
    <n v="48"/>
    <x v="208"/>
    <n v="188.16"/>
  </r>
  <r>
    <n v="1301"/>
    <x v="111"/>
    <x v="3"/>
    <x v="3"/>
    <x v="3"/>
    <x v="2"/>
    <x v="2"/>
    <n v="99999"/>
    <s v="USA"/>
    <x v="2"/>
    <x v="2"/>
    <d v="2014-10-10T00:00:00"/>
    <s v="Shipping Company B"/>
    <s v="Elizabeth Andersen"/>
    <s v="123 8th Street"/>
    <x v="2"/>
    <s v="OR"/>
    <n v="99999"/>
    <s v="USA"/>
    <s v="Check"/>
    <x v="6"/>
    <x v="2"/>
    <n v="9.1999999999999993"/>
    <n v="100"/>
    <x v="234"/>
    <n v="91.08"/>
  </r>
  <r>
    <n v="1302"/>
    <x v="117"/>
    <x v="13"/>
    <x v="13"/>
    <x v="13"/>
    <x v="7"/>
    <x v="7"/>
    <n v="99999"/>
    <s v="USA"/>
    <x v="6"/>
    <x v="1"/>
    <d v="2014-10-27T00:00:00"/>
    <s v="Shipping Company A"/>
    <s v="John Rodman"/>
    <s v="789 25th Street"/>
    <x v="7"/>
    <s v="IL"/>
    <n v="99999"/>
    <s v="USA"/>
    <s v="Cash"/>
    <x v="21"/>
    <x v="2"/>
    <n v="10"/>
    <n v="90"/>
    <x v="235"/>
    <n v="87.3"/>
  </r>
  <r>
    <n v="1303"/>
    <x v="118"/>
    <x v="14"/>
    <x v="14"/>
    <x v="14"/>
    <x v="9"/>
    <x v="9"/>
    <n v="99999"/>
    <s v="USA"/>
    <x v="5"/>
    <x v="3"/>
    <d v="2014-10-28T00:00:00"/>
    <s v="Shipping Company C"/>
    <s v="Run Liu"/>
    <s v="789 26th Street"/>
    <x v="9"/>
    <s v="FL"/>
    <n v="99999"/>
    <s v="USA"/>
    <s v="Credit Card"/>
    <x v="22"/>
    <x v="13"/>
    <n v="21.35"/>
    <n v="49"/>
    <x v="236"/>
    <n v="102.5227"/>
  </r>
  <r>
    <n v="1304"/>
    <x v="118"/>
    <x v="14"/>
    <x v="14"/>
    <x v="14"/>
    <x v="9"/>
    <x v="9"/>
    <n v="99999"/>
    <s v="USA"/>
    <x v="5"/>
    <x v="3"/>
    <d v="2014-10-28T00:00:00"/>
    <s v="Shipping Company C"/>
    <s v="Run Liu"/>
    <s v="789 26th Street"/>
    <x v="9"/>
    <s v="FL"/>
    <n v="99999"/>
    <s v="USA"/>
    <s v="Credit Card"/>
    <x v="8"/>
    <x v="4"/>
    <n v="9.65"/>
    <n v="71"/>
    <x v="237"/>
    <n v="65.7744"/>
  </r>
  <r>
    <n v="1305"/>
    <x v="118"/>
    <x v="14"/>
    <x v="14"/>
    <x v="14"/>
    <x v="9"/>
    <x v="9"/>
    <n v="99999"/>
    <s v="USA"/>
    <x v="5"/>
    <x v="3"/>
    <d v="2014-10-28T00:00:00"/>
    <s v="Shipping Company C"/>
    <s v="Run Liu"/>
    <s v="789 26th Street"/>
    <x v="9"/>
    <s v="FL"/>
    <n v="99999"/>
    <s v="USA"/>
    <s v="Credit Card"/>
    <x v="13"/>
    <x v="8"/>
    <n v="18.399999999999999"/>
    <n v="10"/>
    <x v="238"/>
    <n v="19.136000000000003"/>
  </r>
  <r>
    <n v="1306"/>
    <x v="119"/>
    <x v="4"/>
    <x v="4"/>
    <x v="4"/>
    <x v="3"/>
    <x v="3"/>
    <n v="99999"/>
    <s v="USA"/>
    <x v="3"/>
    <x v="0"/>
    <d v="2014-10-31T00:00:00"/>
    <s v="Shipping Company B"/>
    <s v="Soo Jung Lee"/>
    <s v="789 29th Street"/>
    <x v="3"/>
    <s v="CO"/>
    <n v="99999"/>
    <s v="USA"/>
    <s v="Check"/>
    <x v="0"/>
    <x v="0"/>
    <n v="14"/>
    <n v="78"/>
    <x v="239"/>
    <n v="112.476"/>
  </r>
  <r>
    <n v="1307"/>
    <x v="109"/>
    <x v="6"/>
    <x v="6"/>
    <x v="6"/>
    <x v="5"/>
    <x v="5"/>
    <n v="99999"/>
    <s v="USA"/>
    <x v="4"/>
    <x v="2"/>
    <d v="2014-10-08T00:00:00"/>
    <s v="Shipping Company C"/>
    <s v="Francisco Pérez-Olaeta"/>
    <s v="123 6th Street"/>
    <x v="5"/>
    <s v="WI"/>
    <n v="99999"/>
    <s v="USA"/>
    <s v="Check"/>
    <x v="7"/>
    <x v="3"/>
    <n v="12.75"/>
    <n v="44"/>
    <x v="134"/>
    <n v="53.856000000000002"/>
  </r>
  <r>
    <n v="1309"/>
    <x v="120"/>
    <x v="1"/>
    <x v="1"/>
    <x v="1"/>
    <x v="1"/>
    <x v="1"/>
    <n v="99999"/>
    <s v="USA"/>
    <x v="1"/>
    <x v="1"/>
    <d v="2014-10-06T00:00:00"/>
    <s v="Shipping Company A"/>
    <s v="Christina Lee"/>
    <s v="123 4th Street"/>
    <x v="1"/>
    <s v="NY"/>
    <n v="99999"/>
    <s v="USA"/>
    <s v="Credit Card"/>
    <x v="23"/>
    <x v="6"/>
    <n v="81"/>
    <n v="82"/>
    <x v="240"/>
    <n v="697.41000000000008"/>
  </r>
  <r>
    <n v="1310"/>
    <x v="120"/>
    <x v="1"/>
    <x v="1"/>
    <x v="1"/>
    <x v="1"/>
    <x v="1"/>
    <n v="99999"/>
    <s v="USA"/>
    <x v="1"/>
    <x v="1"/>
    <d v="2014-10-06T00:00:00"/>
    <s v="Shipping Company A"/>
    <s v="Christina Lee"/>
    <s v="123 4th Street"/>
    <x v="1"/>
    <s v="NY"/>
    <n v="99999"/>
    <s v="USA"/>
    <s v="Credit Card"/>
    <x v="24"/>
    <x v="14"/>
    <n v="7"/>
    <n v="29"/>
    <x v="241"/>
    <n v="20.3"/>
  </r>
  <r>
    <n v="1312"/>
    <x v="111"/>
    <x v="3"/>
    <x v="3"/>
    <x v="3"/>
    <x v="2"/>
    <x v="2"/>
    <n v="99999"/>
    <s v="USA"/>
    <x v="2"/>
    <x v="2"/>
    <d v="2014-10-10T00:00:00"/>
    <s v="Shipping Company C"/>
    <s v="Elizabeth Andersen"/>
    <s v="123 8th Street"/>
    <x v="2"/>
    <s v="OR"/>
    <n v="99999"/>
    <s v="USA"/>
    <s v="Credit Card"/>
    <x v="15"/>
    <x v="10"/>
    <n v="34.799999999999997"/>
    <n v="93"/>
    <x v="242"/>
    <n v="313.93079999999998"/>
  </r>
  <r>
    <n v="1315"/>
    <x v="121"/>
    <x v="5"/>
    <x v="5"/>
    <x v="5"/>
    <x v="4"/>
    <x v="4"/>
    <n v="99999"/>
    <s v="USA"/>
    <x v="0"/>
    <x v="0"/>
    <d v="2014-10-05T00:00:00"/>
    <s v="Shipping Company B"/>
    <s v="Thomas Axerr"/>
    <s v="123 3rd Street"/>
    <x v="4"/>
    <s v="CA"/>
    <n v="99999"/>
    <s v="USA"/>
    <s v="Cash"/>
    <x v="16"/>
    <x v="7"/>
    <n v="10"/>
    <n v="11"/>
    <x v="243"/>
    <n v="11.440000000000001"/>
  </r>
  <r>
    <n v="1316"/>
    <x v="121"/>
    <x v="5"/>
    <x v="5"/>
    <x v="5"/>
    <x v="4"/>
    <x v="4"/>
    <n v="99999"/>
    <s v="USA"/>
    <x v="0"/>
    <x v="0"/>
    <d v="2014-10-05T00:00:00"/>
    <s v="Shipping Company B"/>
    <s v="Thomas Axerr"/>
    <s v="123 3rd Street"/>
    <x v="4"/>
    <s v="CA"/>
    <n v="99999"/>
    <s v="USA"/>
    <s v="Cash"/>
    <x v="9"/>
    <x v="5"/>
    <n v="40"/>
    <n v="91"/>
    <x v="157"/>
    <n v="364"/>
  </r>
  <r>
    <n v="1320"/>
    <x v="112"/>
    <x v="8"/>
    <x v="8"/>
    <x v="8"/>
    <x v="7"/>
    <x v="7"/>
    <n v="99999"/>
    <s v="USA"/>
    <x v="6"/>
    <x v="1"/>
    <d v="2014-10-12T00:00:00"/>
    <s v="Shipping Company B"/>
    <s v="Roland Wacker"/>
    <s v="123 10th Street"/>
    <x v="7"/>
    <s v="IL"/>
    <n v="99999"/>
    <s v="USA"/>
    <s v="Credit Card"/>
    <x v="18"/>
    <x v="1"/>
    <n v="10"/>
    <n v="12"/>
    <x v="244"/>
    <n v="12.36"/>
  </r>
  <r>
    <n v="1322"/>
    <x v="112"/>
    <x v="8"/>
    <x v="8"/>
    <x v="8"/>
    <x v="7"/>
    <x v="7"/>
    <n v="99999"/>
    <s v="USA"/>
    <x v="6"/>
    <x v="1"/>
    <m/>
    <s v="Shipping Company A"/>
    <s v="Roland Wacker"/>
    <s v="123 10th Street"/>
    <x v="7"/>
    <s v="IL"/>
    <n v="99999"/>
    <s v="USA"/>
    <m/>
    <x v="1"/>
    <x v="1"/>
    <n v="3.5"/>
    <n v="78"/>
    <x v="214"/>
    <n v="27.3"/>
  </r>
  <r>
    <n v="1323"/>
    <x v="114"/>
    <x v="10"/>
    <x v="10"/>
    <x v="10"/>
    <x v="9"/>
    <x v="9"/>
    <n v="99999"/>
    <s v="USA"/>
    <x v="5"/>
    <x v="3"/>
    <m/>
    <s v="Shipping Company C"/>
    <s v="Peter Krschne"/>
    <s v="123 11th Street"/>
    <x v="9"/>
    <s v="FL"/>
    <n v="99999"/>
    <s v="USA"/>
    <m/>
    <x v="9"/>
    <x v="5"/>
    <n v="40"/>
    <n v="60"/>
    <x v="245"/>
    <n v="228"/>
  </r>
  <r>
    <n v="1324"/>
    <x v="115"/>
    <x v="11"/>
    <x v="11"/>
    <x v="11"/>
    <x v="10"/>
    <x v="10"/>
    <n v="99999"/>
    <s v="USA"/>
    <x v="2"/>
    <x v="2"/>
    <m/>
    <s v="Shipping Company C"/>
    <s v="Anna Bedecs"/>
    <s v="123 1st Street"/>
    <x v="10"/>
    <s v="WA"/>
    <n v="99999"/>
    <s v="USA"/>
    <m/>
    <x v="13"/>
    <x v="8"/>
    <n v="18.399999999999999"/>
    <n v="23"/>
    <x v="246"/>
    <n v="43.589600000000004"/>
  </r>
  <r>
    <n v="1325"/>
    <x v="110"/>
    <x v="7"/>
    <x v="7"/>
    <x v="7"/>
    <x v="6"/>
    <x v="6"/>
    <n v="99999"/>
    <s v="USA"/>
    <x v="5"/>
    <x v="3"/>
    <d v="2014-10-30T00:00:00"/>
    <s v="Shipping Company C"/>
    <s v="Amritansh Raghav"/>
    <s v="789 28th Street"/>
    <x v="6"/>
    <s v="TN"/>
    <n v="99999"/>
    <s v="USA"/>
    <s v="Credit Card"/>
    <x v="5"/>
    <x v="0"/>
    <n v="46"/>
    <n v="34"/>
    <x v="247"/>
    <n v="157.964"/>
  </r>
  <r>
    <n v="1326"/>
    <x v="116"/>
    <x v="12"/>
    <x v="12"/>
    <x v="12"/>
    <x v="11"/>
    <x v="11"/>
    <n v="99999"/>
    <s v="USA"/>
    <x v="7"/>
    <x v="0"/>
    <d v="2014-10-11T00:00:00"/>
    <s v="Shipping Company A"/>
    <s v="Sven Mortensen"/>
    <s v="123 9th Street"/>
    <x v="11"/>
    <s v="UT"/>
    <n v="99999"/>
    <s v="USA"/>
    <s v="Check"/>
    <x v="8"/>
    <x v="4"/>
    <n v="9.65"/>
    <n v="89"/>
    <x v="248"/>
    <n v="86.743850000000009"/>
  </r>
  <r>
    <n v="1327"/>
    <x v="109"/>
    <x v="6"/>
    <x v="6"/>
    <x v="6"/>
    <x v="5"/>
    <x v="5"/>
    <n v="99999"/>
    <s v="USA"/>
    <x v="4"/>
    <x v="2"/>
    <d v="2014-10-08T00:00:00"/>
    <s v="Shipping Company B"/>
    <s v="Francisco Pérez-Olaeta"/>
    <s v="123 6th Street"/>
    <x v="5"/>
    <s v="WI"/>
    <n v="99999"/>
    <s v="USA"/>
    <s v="Credit Card"/>
    <x v="7"/>
    <x v="3"/>
    <n v="12.75"/>
    <n v="82"/>
    <x v="249"/>
    <n v="103.50450000000001"/>
  </r>
  <r>
    <n v="1328"/>
    <x v="111"/>
    <x v="3"/>
    <x v="3"/>
    <x v="3"/>
    <x v="2"/>
    <x v="2"/>
    <n v="99999"/>
    <s v="USA"/>
    <x v="2"/>
    <x v="2"/>
    <d v="2014-10-10T00:00:00"/>
    <s v="Shipping Company B"/>
    <s v="Elizabeth Andersen"/>
    <s v="123 8th Street"/>
    <x v="2"/>
    <s v="OR"/>
    <n v="99999"/>
    <s v="USA"/>
    <s v="Check"/>
    <x v="7"/>
    <x v="3"/>
    <n v="12.75"/>
    <n v="43"/>
    <x v="250"/>
    <n v="52.631999999999998"/>
  </r>
  <r>
    <n v="1329"/>
    <x v="122"/>
    <x v="8"/>
    <x v="8"/>
    <x v="8"/>
    <x v="7"/>
    <x v="7"/>
    <n v="99999"/>
    <s v="USA"/>
    <x v="6"/>
    <x v="1"/>
    <d v="2014-11-12T00:00:00"/>
    <s v="Shipping Company A"/>
    <s v="Roland Wacker"/>
    <s v="123 10th Street"/>
    <x v="7"/>
    <s v="IL"/>
    <n v="99999"/>
    <s v="USA"/>
    <m/>
    <x v="12"/>
    <x v="7"/>
    <n v="22"/>
    <n v="96"/>
    <x v="251"/>
    <n v="221.76000000000002"/>
  </r>
  <r>
    <n v="1330"/>
    <x v="122"/>
    <x v="8"/>
    <x v="8"/>
    <x v="8"/>
    <x v="7"/>
    <x v="7"/>
    <n v="99999"/>
    <s v="USA"/>
    <x v="6"/>
    <x v="1"/>
    <d v="2014-11-12T00:00:00"/>
    <s v="Shipping Company A"/>
    <s v="Roland Wacker"/>
    <s v="123 10th Street"/>
    <x v="7"/>
    <s v="IL"/>
    <n v="99999"/>
    <s v="USA"/>
    <m/>
    <x v="6"/>
    <x v="2"/>
    <n v="9.1999999999999993"/>
    <n v="34"/>
    <x v="252"/>
    <n v="31.279999999999998"/>
  </r>
  <r>
    <n v="1331"/>
    <x v="123"/>
    <x v="10"/>
    <x v="10"/>
    <x v="10"/>
    <x v="9"/>
    <x v="9"/>
    <n v="99999"/>
    <s v="USA"/>
    <x v="5"/>
    <x v="3"/>
    <m/>
    <s v="Shipping Company C"/>
    <s v="Peter Krschne"/>
    <s v="123 11th Street"/>
    <x v="9"/>
    <s v="FL"/>
    <n v="99999"/>
    <s v="USA"/>
    <m/>
    <x v="1"/>
    <x v="1"/>
    <n v="3.5"/>
    <n v="42"/>
    <x v="253"/>
    <n v="15.141000000000002"/>
  </r>
  <r>
    <n v="1332"/>
    <x v="123"/>
    <x v="10"/>
    <x v="10"/>
    <x v="10"/>
    <x v="9"/>
    <x v="9"/>
    <n v="99999"/>
    <s v="USA"/>
    <x v="5"/>
    <x v="3"/>
    <m/>
    <s v="Shipping Company C"/>
    <s v="Peter Krschne"/>
    <s v="123 11th Street"/>
    <x v="9"/>
    <s v="FL"/>
    <n v="99999"/>
    <s v="USA"/>
    <m/>
    <x v="10"/>
    <x v="0"/>
    <n v="2.99"/>
    <n v="100"/>
    <x v="254"/>
    <n v="30.498000000000001"/>
  </r>
  <r>
    <n v="1333"/>
    <x v="124"/>
    <x v="11"/>
    <x v="11"/>
    <x v="11"/>
    <x v="10"/>
    <x v="10"/>
    <n v="99999"/>
    <s v="USA"/>
    <x v="2"/>
    <x v="2"/>
    <m/>
    <m/>
    <s v="Anna Bedecs"/>
    <s v="123 1st Street"/>
    <x v="10"/>
    <s v="WA"/>
    <n v="99999"/>
    <s v="USA"/>
    <m/>
    <x v="4"/>
    <x v="0"/>
    <n v="18"/>
    <n v="42"/>
    <x v="21"/>
    <n v="76.356000000000009"/>
  </r>
  <r>
    <n v="1334"/>
    <x v="124"/>
    <x v="11"/>
    <x v="11"/>
    <x v="11"/>
    <x v="10"/>
    <x v="10"/>
    <n v="99999"/>
    <s v="USA"/>
    <x v="2"/>
    <x v="2"/>
    <m/>
    <m/>
    <s v="Anna Bedecs"/>
    <s v="123 1st Street"/>
    <x v="10"/>
    <s v="WA"/>
    <n v="99999"/>
    <s v="USA"/>
    <m/>
    <x v="5"/>
    <x v="0"/>
    <n v="46"/>
    <n v="16"/>
    <x v="129"/>
    <n v="70.656000000000006"/>
  </r>
  <r>
    <n v="1335"/>
    <x v="124"/>
    <x v="11"/>
    <x v="11"/>
    <x v="11"/>
    <x v="10"/>
    <x v="10"/>
    <n v="99999"/>
    <s v="USA"/>
    <x v="2"/>
    <x v="2"/>
    <m/>
    <m/>
    <s v="Anna Bedecs"/>
    <s v="123 1st Street"/>
    <x v="10"/>
    <s v="WA"/>
    <n v="99999"/>
    <s v="USA"/>
    <m/>
    <x v="10"/>
    <x v="0"/>
    <n v="2.99"/>
    <n v="22"/>
    <x v="255"/>
    <n v="6.3806599999999998"/>
  </r>
  <r>
    <n v="1336"/>
    <x v="125"/>
    <x v="7"/>
    <x v="7"/>
    <x v="7"/>
    <x v="6"/>
    <x v="6"/>
    <n v="99999"/>
    <s v="USA"/>
    <x v="5"/>
    <x v="3"/>
    <d v="2014-11-30T00:00:00"/>
    <s v="Shipping Company C"/>
    <s v="Amritansh Raghav"/>
    <s v="789 28th Street"/>
    <x v="6"/>
    <s v="TN"/>
    <n v="99999"/>
    <s v="USA"/>
    <s v="Credit Card"/>
    <x v="8"/>
    <x v="4"/>
    <n v="9.65"/>
    <n v="46"/>
    <x v="256"/>
    <n v="45.721700000000006"/>
  </r>
  <r>
    <n v="1337"/>
    <x v="125"/>
    <x v="7"/>
    <x v="7"/>
    <x v="7"/>
    <x v="6"/>
    <x v="6"/>
    <n v="99999"/>
    <s v="USA"/>
    <x v="5"/>
    <x v="3"/>
    <n v="41973"/>
    <s v="Shipping Company C"/>
    <s v="Amritansh Raghav"/>
    <s v="789 28th Street"/>
    <x v="6"/>
    <s v="TN"/>
    <n v="99999"/>
    <s v="USA"/>
    <s v="Credit Card"/>
    <x v="13"/>
    <x v="8"/>
    <n v="18.399999999999999"/>
    <n v="100"/>
    <x v="257"/>
    <n v="184"/>
  </r>
  <r>
    <n v="1338"/>
    <x v="126"/>
    <x v="12"/>
    <x v="12"/>
    <x v="12"/>
    <x v="11"/>
    <x v="11"/>
    <n v="99999"/>
    <s v="USA"/>
    <x v="7"/>
    <x v="0"/>
    <n v="41954"/>
    <s v="Shipping Company A"/>
    <s v="Sven Mortensen"/>
    <s v="123 9th Street"/>
    <x v="11"/>
    <s v="UT"/>
    <n v="99999"/>
    <s v="USA"/>
    <s v="Check"/>
    <x v="14"/>
    <x v="9"/>
    <n v="19.5"/>
    <n v="87"/>
    <x v="258"/>
    <n v="174.73950000000002"/>
  </r>
  <r>
    <n v="1339"/>
    <x v="126"/>
    <x v="12"/>
    <x v="12"/>
    <x v="12"/>
    <x v="11"/>
    <x v="11"/>
    <n v="99999"/>
    <s v="USA"/>
    <x v="7"/>
    <x v="0"/>
    <n v="41954"/>
    <s v="Shipping Company A"/>
    <s v="Sven Mortensen"/>
    <s v="123 9th Street"/>
    <x v="11"/>
    <s v="UT"/>
    <n v="99999"/>
    <s v="USA"/>
    <s v="Check"/>
    <x v="15"/>
    <x v="10"/>
    <n v="34.799999999999997"/>
    <n v="58"/>
    <x v="259"/>
    <n v="205.8768"/>
  </r>
  <r>
    <n v="1340"/>
    <x v="127"/>
    <x v="6"/>
    <x v="6"/>
    <x v="6"/>
    <x v="5"/>
    <x v="5"/>
    <n v="99999"/>
    <s v="USA"/>
    <x v="4"/>
    <x v="2"/>
    <n v="41951"/>
    <s v="Shipping Company B"/>
    <s v="Francisco Pérez-Olaeta"/>
    <s v="123 6th Street"/>
    <x v="5"/>
    <s v="WI"/>
    <n v="99999"/>
    <s v="USA"/>
    <s v="Credit Card"/>
    <x v="0"/>
    <x v="0"/>
    <n v="14"/>
    <n v="85"/>
    <x v="260"/>
    <n v="120.19"/>
  </r>
  <r>
    <n v="1341"/>
    <x v="128"/>
    <x v="3"/>
    <x v="3"/>
    <x v="3"/>
    <x v="2"/>
    <x v="2"/>
    <n v="99999"/>
    <s v="USA"/>
    <x v="2"/>
    <x v="2"/>
    <n v="41953"/>
    <s v="Shipping Company B"/>
    <s v="Elizabeth Andersen"/>
    <s v="123 8th Street"/>
    <x v="2"/>
    <s v="OR"/>
    <n v="99999"/>
    <s v="USA"/>
    <s v="Check"/>
    <x v="9"/>
    <x v="5"/>
    <n v="40"/>
    <n v="28"/>
    <x v="139"/>
    <n v="110.88"/>
  </r>
  <r>
    <n v="1342"/>
    <x v="128"/>
    <x v="3"/>
    <x v="3"/>
    <x v="3"/>
    <x v="2"/>
    <x v="2"/>
    <n v="99999"/>
    <s v="USA"/>
    <x v="2"/>
    <x v="2"/>
    <d v="2014-11-10T00:00:00"/>
    <s v="Shipping Company B"/>
    <s v="Elizabeth Andersen"/>
    <s v="123 8th Street"/>
    <x v="2"/>
    <s v="OR"/>
    <n v="99999"/>
    <s v="USA"/>
    <s v="Check"/>
    <x v="6"/>
    <x v="2"/>
    <n v="9.1999999999999993"/>
    <n v="19"/>
    <x v="261"/>
    <n v="17.130400000000002"/>
  </r>
  <r>
    <n v="1343"/>
    <x v="129"/>
    <x v="13"/>
    <x v="13"/>
    <x v="13"/>
    <x v="7"/>
    <x v="7"/>
    <n v="99999"/>
    <s v="USA"/>
    <x v="6"/>
    <x v="1"/>
    <d v="2014-11-27T00:00:00"/>
    <s v="Shipping Company A"/>
    <s v="John Rodman"/>
    <s v="789 25th Street"/>
    <x v="7"/>
    <s v="IL"/>
    <n v="99999"/>
    <s v="USA"/>
    <s v="Cash"/>
    <x v="21"/>
    <x v="2"/>
    <n v="10"/>
    <n v="99"/>
    <x v="82"/>
    <n v="102.96000000000001"/>
  </r>
  <r>
    <n v="1344"/>
    <x v="130"/>
    <x v="14"/>
    <x v="14"/>
    <x v="14"/>
    <x v="9"/>
    <x v="9"/>
    <n v="99999"/>
    <s v="USA"/>
    <x v="5"/>
    <x v="3"/>
    <d v="2014-11-28T00:00:00"/>
    <s v="Shipping Company C"/>
    <s v="Run Liu"/>
    <s v="789 26th Street"/>
    <x v="9"/>
    <s v="FL"/>
    <n v="99999"/>
    <s v="USA"/>
    <s v="Credit Card"/>
    <x v="22"/>
    <x v="13"/>
    <n v="21.35"/>
    <n v="69"/>
    <x v="262"/>
    <n v="153.20760000000004"/>
  </r>
  <r>
    <n v="1345"/>
    <x v="130"/>
    <x v="14"/>
    <x v="14"/>
    <x v="14"/>
    <x v="9"/>
    <x v="9"/>
    <n v="99999"/>
    <s v="USA"/>
    <x v="5"/>
    <x v="3"/>
    <d v="2014-11-28T00:00:00"/>
    <s v="Shipping Company C"/>
    <s v="Run Liu"/>
    <s v="789 26th Street"/>
    <x v="9"/>
    <s v="FL"/>
    <n v="99999"/>
    <s v="USA"/>
    <s v="Credit Card"/>
    <x v="8"/>
    <x v="4"/>
    <n v="9.65"/>
    <n v="37"/>
    <x v="263"/>
    <n v="33.919750000000001"/>
  </r>
  <r>
    <n v="1346"/>
    <x v="130"/>
    <x v="14"/>
    <x v="14"/>
    <x v="14"/>
    <x v="9"/>
    <x v="9"/>
    <n v="99999"/>
    <s v="USA"/>
    <x v="5"/>
    <x v="3"/>
    <d v="2014-11-28T00:00:00"/>
    <s v="Shipping Company C"/>
    <s v="Run Liu"/>
    <s v="789 26th Street"/>
    <x v="9"/>
    <s v="FL"/>
    <n v="99999"/>
    <s v="USA"/>
    <s v="Credit Card"/>
    <x v="13"/>
    <x v="8"/>
    <n v="18.399999999999999"/>
    <n v="64"/>
    <x v="107"/>
    <n v="118.93759999999999"/>
  </r>
  <r>
    <n v="1347"/>
    <x v="131"/>
    <x v="4"/>
    <x v="4"/>
    <x v="4"/>
    <x v="3"/>
    <x v="3"/>
    <n v="99999"/>
    <s v="USA"/>
    <x v="3"/>
    <x v="0"/>
    <d v="2014-12-01T00:00:00"/>
    <s v="Shipping Company B"/>
    <s v="Soo Jung Lee"/>
    <s v="789 29th Street"/>
    <x v="3"/>
    <s v="CO"/>
    <n v="99999"/>
    <s v="USA"/>
    <s v="Check"/>
    <x v="0"/>
    <x v="0"/>
    <n v="14"/>
    <n v="38"/>
    <x v="197"/>
    <n v="55.328000000000003"/>
  </r>
  <r>
    <n v="1348"/>
    <x v="127"/>
    <x v="6"/>
    <x v="6"/>
    <x v="6"/>
    <x v="5"/>
    <x v="5"/>
    <n v="99999"/>
    <s v="USA"/>
    <x v="4"/>
    <x v="2"/>
    <d v="2014-11-08T00:00:00"/>
    <s v="Shipping Company C"/>
    <s v="Francisco Pérez-Olaeta"/>
    <s v="123 6th Street"/>
    <x v="5"/>
    <s v="WI"/>
    <n v="99999"/>
    <s v="USA"/>
    <s v="Check"/>
    <x v="7"/>
    <x v="3"/>
    <n v="12.75"/>
    <n v="15"/>
    <x v="264"/>
    <n v="18.55125"/>
  </r>
  <r>
    <n v="1350"/>
    <x v="132"/>
    <x v="1"/>
    <x v="1"/>
    <x v="1"/>
    <x v="1"/>
    <x v="1"/>
    <n v="99999"/>
    <s v="USA"/>
    <x v="1"/>
    <x v="1"/>
    <d v="2014-11-06T00:00:00"/>
    <s v="Shipping Company A"/>
    <s v="Christina Lee"/>
    <s v="123 4th Street"/>
    <x v="1"/>
    <s v="NY"/>
    <n v="99999"/>
    <s v="USA"/>
    <s v="Credit Card"/>
    <x v="23"/>
    <x v="6"/>
    <n v="81"/>
    <n v="52"/>
    <x v="265"/>
    <n v="412.77600000000001"/>
  </r>
  <r>
    <n v="1351"/>
    <x v="132"/>
    <x v="1"/>
    <x v="1"/>
    <x v="1"/>
    <x v="1"/>
    <x v="1"/>
    <n v="99999"/>
    <s v="USA"/>
    <x v="1"/>
    <x v="1"/>
    <d v="2014-11-06T00:00:00"/>
    <s v="Shipping Company A"/>
    <s v="Christina Lee"/>
    <s v="123 4th Street"/>
    <x v="1"/>
    <s v="NY"/>
    <n v="99999"/>
    <s v="USA"/>
    <s v="Credit Card"/>
    <x v="24"/>
    <x v="14"/>
    <n v="7"/>
    <n v="37"/>
    <x v="58"/>
    <n v="25.382000000000001"/>
  </r>
  <r>
    <n v="1353"/>
    <x v="128"/>
    <x v="3"/>
    <x v="3"/>
    <x v="3"/>
    <x v="2"/>
    <x v="2"/>
    <n v="99999"/>
    <s v="USA"/>
    <x v="2"/>
    <x v="2"/>
    <d v="2014-11-10T00:00:00"/>
    <s v="Shipping Company C"/>
    <s v="Elizabeth Andersen"/>
    <s v="123 8th Street"/>
    <x v="2"/>
    <s v="OR"/>
    <n v="99999"/>
    <s v="USA"/>
    <s v="Credit Card"/>
    <x v="15"/>
    <x v="10"/>
    <n v="34.799999999999997"/>
    <n v="24"/>
    <x v="266"/>
    <n v="80.179199999999994"/>
  </r>
  <r>
    <n v="1356"/>
    <x v="133"/>
    <x v="5"/>
    <x v="5"/>
    <x v="5"/>
    <x v="4"/>
    <x v="4"/>
    <n v="99999"/>
    <s v="USA"/>
    <x v="0"/>
    <x v="0"/>
    <d v="2014-11-05T00:00:00"/>
    <s v="Shipping Company B"/>
    <s v="Thomas Axerr"/>
    <s v="123 3rd Street"/>
    <x v="4"/>
    <s v="CA"/>
    <n v="99999"/>
    <s v="USA"/>
    <s v="Cash"/>
    <x v="16"/>
    <x v="7"/>
    <n v="10"/>
    <n v="36"/>
    <x v="267"/>
    <n v="37.08"/>
  </r>
  <r>
    <n v="1357"/>
    <x v="133"/>
    <x v="5"/>
    <x v="5"/>
    <x v="5"/>
    <x v="4"/>
    <x v="4"/>
    <n v="99999"/>
    <s v="USA"/>
    <x v="0"/>
    <x v="0"/>
    <d v="2014-11-05T00:00:00"/>
    <s v="Shipping Company B"/>
    <s v="Thomas Axerr"/>
    <s v="123 3rd Street"/>
    <x v="4"/>
    <s v="CA"/>
    <n v="99999"/>
    <s v="USA"/>
    <s v="Cash"/>
    <x v="9"/>
    <x v="5"/>
    <n v="40"/>
    <n v="24"/>
    <x v="268"/>
    <n v="96"/>
  </r>
  <r>
    <n v="1361"/>
    <x v="122"/>
    <x v="8"/>
    <x v="8"/>
    <x v="8"/>
    <x v="7"/>
    <x v="7"/>
    <n v="99999"/>
    <s v="USA"/>
    <x v="6"/>
    <x v="1"/>
    <d v="2014-11-12T00:00:00"/>
    <s v="Shipping Company B"/>
    <s v="Roland Wacker"/>
    <s v="123 10th Street"/>
    <x v="7"/>
    <s v="IL"/>
    <n v="99999"/>
    <s v="USA"/>
    <s v="Credit Card"/>
    <x v="18"/>
    <x v="1"/>
    <n v="10"/>
    <n v="20"/>
    <x v="269"/>
    <n v="20"/>
  </r>
  <r>
    <n v="1363"/>
    <x v="122"/>
    <x v="8"/>
    <x v="8"/>
    <x v="8"/>
    <x v="7"/>
    <x v="7"/>
    <n v="99999"/>
    <s v="USA"/>
    <x v="6"/>
    <x v="1"/>
    <m/>
    <s v="Shipping Company A"/>
    <s v="Roland Wacker"/>
    <s v="123 10th Street"/>
    <x v="7"/>
    <s v="IL"/>
    <n v="99999"/>
    <s v="USA"/>
    <m/>
    <x v="1"/>
    <x v="1"/>
    <n v="3.5"/>
    <n v="11"/>
    <x v="4"/>
    <n v="3.7345000000000002"/>
  </r>
  <r>
    <n v="1364"/>
    <x v="123"/>
    <x v="10"/>
    <x v="10"/>
    <x v="10"/>
    <x v="9"/>
    <x v="9"/>
    <n v="99999"/>
    <s v="USA"/>
    <x v="5"/>
    <x v="3"/>
    <m/>
    <s v="Shipping Company C"/>
    <s v="Peter Krschne"/>
    <s v="123 11th Street"/>
    <x v="9"/>
    <s v="FL"/>
    <n v="99999"/>
    <s v="USA"/>
    <m/>
    <x v="9"/>
    <x v="5"/>
    <n v="40"/>
    <n v="78"/>
    <x v="189"/>
    <n v="299.52"/>
  </r>
  <r>
    <n v="1365"/>
    <x v="124"/>
    <x v="11"/>
    <x v="11"/>
    <x v="11"/>
    <x v="10"/>
    <x v="10"/>
    <n v="99999"/>
    <s v="USA"/>
    <x v="2"/>
    <x v="2"/>
    <m/>
    <s v="Shipping Company C"/>
    <s v="Anna Bedecs"/>
    <s v="123 1st Street"/>
    <x v="10"/>
    <s v="WA"/>
    <n v="99999"/>
    <s v="USA"/>
    <m/>
    <x v="13"/>
    <x v="8"/>
    <n v="18.399999999999999"/>
    <n v="76"/>
    <x v="270"/>
    <n v="144.0352"/>
  </r>
  <r>
    <n v="1366"/>
    <x v="125"/>
    <x v="7"/>
    <x v="7"/>
    <x v="7"/>
    <x v="6"/>
    <x v="6"/>
    <n v="99999"/>
    <s v="USA"/>
    <x v="5"/>
    <x v="3"/>
    <d v="2014-11-30T00:00:00"/>
    <s v="Shipping Company C"/>
    <s v="Amritansh Raghav"/>
    <s v="789 28th Street"/>
    <x v="6"/>
    <s v="TN"/>
    <n v="99999"/>
    <s v="USA"/>
    <s v="Credit Card"/>
    <x v="5"/>
    <x v="0"/>
    <n v="46"/>
    <n v="57"/>
    <x v="271"/>
    <n v="272.68799999999999"/>
  </r>
  <r>
    <n v="1367"/>
    <x v="126"/>
    <x v="12"/>
    <x v="12"/>
    <x v="12"/>
    <x v="11"/>
    <x v="11"/>
    <n v="99999"/>
    <s v="USA"/>
    <x v="7"/>
    <x v="0"/>
    <d v="2014-11-11T00:00:00"/>
    <s v="Shipping Company A"/>
    <s v="Sven Mortensen"/>
    <s v="123 9th Street"/>
    <x v="11"/>
    <s v="UT"/>
    <n v="99999"/>
    <s v="USA"/>
    <s v="Check"/>
    <x v="8"/>
    <x v="4"/>
    <n v="9.65"/>
    <n v="14"/>
    <x v="272"/>
    <n v="12.9696"/>
  </r>
  <r>
    <n v="1368"/>
    <x v="134"/>
    <x v="0"/>
    <x v="0"/>
    <x v="0"/>
    <x v="0"/>
    <x v="0"/>
    <n v="99999"/>
    <s v="USA"/>
    <x v="0"/>
    <x v="0"/>
    <d v="2014-12-29T00:00:00"/>
    <s v="Shipping Company B"/>
    <s v="Karen Toh"/>
    <s v="789 27th Street"/>
    <x v="0"/>
    <s v="NV"/>
    <n v="99999"/>
    <s v="USA"/>
    <s v="Check"/>
    <x v="0"/>
    <x v="0"/>
    <n v="14"/>
    <n v="14"/>
    <x v="273"/>
    <n v="19.796000000000003"/>
  </r>
  <r>
    <n v="1369"/>
    <x v="134"/>
    <x v="0"/>
    <x v="0"/>
    <x v="0"/>
    <x v="0"/>
    <x v="0"/>
    <n v="99999"/>
    <s v="USA"/>
    <x v="0"/>
    <x v="0"/>
    <d v="2014-12-29T00:00:00"/>
    <s v="Shipping Company B"/>
    <s v="Karen Toh"/>
    <s v="789 27th Street"/>
    <x v="0"/>
    <s v="NV"/>
    <n v="99999"/>
    <s v="USA"/>
    <s v="Check"/>
    <x v="1"/>
    <x v="1"/>
    <n v="3.5"/>
    <n v="70"/>
    <x v="274"/>
    <n v="25.234999999999999"/>
  </r>
  <r>
    <n v="1370"/>
    <x v="135"/>
    <x v="1"/>
    <x v="1"/>
    <x v="1"/>
    <x v="1"/>
    <x v="1"/>
    <n v="99999"/>
    <s v="USA"/>
    <x v="1"/>
    <x v="1"/>
    <d v="2014-12-06T00:00:00"/>
    <s v="Shipping Company A"/>
    <s v="Christina Lee"/>
    <s v="123 4th Street"/>
    <x v="1"/>
    <s v="NY"/>
    <n v="99999"/>
    <s v="USA"/>
    <s v="Credit Card"/>
    <x v="2"/>
    <x v="1"/>
    <n v="30"/>
    <n v="100"/>
    <x v="275"/>
    <n v="291"/>
  </r>
  <r>
    <n v="1371"/>
    <x v="135"/>
    <x v="1"/>
    <x v="1"/>
    <x v="1"/>
    <x v="1"/>
    <x v="1"/>
    <n v="99999"/>
    <s v="USA"/>
    <x v="1"/>
    <x v="1"/>
    <d v="2014-12-06T00:00:00"/>
    <s v="Shipping Company A"/>
    <s v="Christina Lee"/>
    <s v="123 4th Street"/>
    <x v="1"/>
    <s v="NY"/>
    <n v="99999"/>
    <s v="USA"/>
    <s v="Credit Card"/>
    <x v="3"/>
    <x v="1"/>
    <n v="53"/>
    <n v="27"/>
    <x v="276"/>
    <n v="143.1"/>
  </r>
  <r>
    <n v="1372"/>
    <x v="135"/>
    <x v="1"/>
    <x v="1"/>
    <x v="1"/>
    <x v="1"/>
    <x v="1"/>
    <n v="99999"/>
    <s v="USA"/>
    <x v="1"/>
    <x v="1"/>
    <d v="2014-12-06T00:00:00"/>
    <s v="Shipping Company A"/>
    <s v="Christina Lee"/>
    <s v="123 4th Street"/>
    <x v="1"/>
    <s v="NY"/>
    <n v="99999"/>
    <s v="USA"/>
    <s v="Credit Card"/>
    <x v="1"/>
    <x v="1"/>
    <n v="3.5"/>
    <n v="70"/>
    <x v="274"/>
    <n v="24.009999999999998"/>
  </r>
  <r>
    <n v="1373"/>
    <x v="136"/>
    <x v="2"/>
    <x v="2"/>
    <x v="2"/>
    <x v="0"/>
    <x v="0"/>
    <n v="99999"/>
    <s v="USA"/>
    <x v="0"/>
    <x v="0"/>
    <d v="2014-12-14T00:00:00"/>
    <s v="Shipping Company B"/>
    <s v="John Edwards"/>
    <s v="123 12th Street"/>
    <x v="0"/>
    <s v="NV"/>
    <n v="99999"/>
    <s v="USA"/>
    <s v="Credit Card"/>
    <x v="4"/>
    <x v="0"/>
    <n v="18"/>
    <n v="57"/>
    <x v="277"/>
    <n v="102.60000000000001"/>
  </r>
  <r>
    <n v="1374"/>
    <x v="136"/>
    <x v="2"/>
    <x v="2"/>
    <x v="2"/>
    <x v="0"/>
    <x v="0"/>
    <n v="99999"/>
    <s v="USA"/>
    <x v="0"/>
    <x v="0"/>
    <d v="2014-12-14T00:00:00"/>
    <s v="Shipping Company B"/>
    <s v="John Edwards"/>
    <s v="123 12th Street"/>
    <x v="0"/>
    <s v="NV"/>
    <n v="99999"/>
    <s v="USA"/>
    <s v="Credit Card"/>
    <x v="5"/>
    <x v="0"/>
    <n v="46"/>
    <n v="83"/>
    <x v="278"/>
    <n v="374.16399999999999"/>
  </r>
  <r>
    <n v="1375"/>
    <x v="137"/>
    <x v="3"/>
    <x v="3"/>
    <x v="3"/>
    <x v="2"/>
    <x v="2"/>
    <n v="99999"/>
    <s v="USA"/>
    <x v="2"/>
    <x v="2"/>
    <d v="2014-12-10T00:00:00"/>
    <s v="Shipping Company C"/>
    <s v="Elizabeth Andersen"/>
    <s v="123 8th Street"/>
    <x v="2"/>
    <s v="OR"/>
    <n v="99999"/>
    <s v="USA"/>
    <s v="Credit Card"/>
    <x v="6"/>
    <x v="2"/>
    <n v="9.1999999999999993"/>
    <n v="76"/>
    <x v="279"/>
    <n v="67.123199999999997"/>
  </r>
  <r>
    <n v="1376"/>
    <x v="135"/>
    <x v="1"/>
    <x v="1"/>
    <x v="1"/>
    <x v="1"/>
    <x v="1"/>
    <n v="99999"/>
    <s v="USA"/>
    <x v="1"/>
    <x v="1"/>
    <n v="41979"/>
    <s v="Shipping Company C"/>
    <s v="Christina Lee"/>
    <s v="123 4th Street"/>
    <x v="1"/>
    <s v="NY"/>
    <n v="99999"/>
    <s v="USA"/>
    <s v="Check"/>
    <x v="6"/>
    <x v="2"/>
    <n v="9.1999999999999993"/>
    <n v="80"/>
    <x v="129"/>
    <n v="72.864000000000004"/>
  </r>
  <r>
    <n v="1377"/>
    <x v="138"/>
    <x v="4"/>
    <x v="4"/>
    <x v="4"/>
    <x v="3"/>
    <x v="3"/>
    <n v="99999"/>
    <s v="USA"/>
    <x v="3"/>
    <x v="0"/>
    <n v="42004"/>
    <s v="Shipping Company B"/>
    <s v="Soo Jung Lee"/>
    <s v="789 29th Street"/>
    <x v="3"/>
    <s v="CO"/>
    <n v="99999"/>
    <s v="USA"/>
    <s v="Check"/>
    <x v="7"/>
    <x v="3"/>
    <n v="12.75"/>
    <n v="47"/>
    <x v="13"/>
    <n v="59.325750000000006"/>
  </r>
  <r>
    <n v="1378"/>
    <x v="139"/>
    <x v="5"/>
    <x v="5"/>
    <x v="5"/>
    <x v="4"/>
    <x v="4"/>
    <n v="99999"/>
    <s v="USA"/>
    <x v="0"/>
    <x v="0"/>
    <n v="41978"/>
    <s v="Shipping Company B"/>
    <s v="Thomas Axerr"/>
    <s v="123 3rd Street"/>
    <x v="4"/>
    <s v="CA"/>
    <n v="99999"/>
    <s v="USA"/>
    <s v="Cash"/>
    <x v="8"/>
    <x v="4"/>
    <n v="9.65"/>
    <n v="96"/>
    <x v="280"/>
    <n v="94.492800000000017"/>
  </r>
  <r>
    <n v="1379"/>
    <x v="140"/>
    <x v="6"/>
    <x v="6"/>
    <x v="6"/>
    <x v="5"/>
    <x v="5"/>
    <n v="99999"/>
    <s v="USA"/>
    <x v="4"/>
    <x v="2"/>
    <n v="41981"/>
    <s v="Shipping Company B"/>
    <s v="Francisco Pérez-Olaeta"/>
    <s v="123 6th Street"/>
    <x v="5"/>
    <s v="WI"/>
    <n v="99999"/>
    <s v="USA"/>
    <s v="Credit Card"/>
    <x v="9"/>
    <x v="5"/>
    <n v="40"/>
    <n v="32"/>
    <x v="11"/>
    <n v="134.4"/>
  </r>
  <r>
    <n v="1380"/>
    <x v="141"/>
    <x v="7"/>
    <x v="7"/>
    <x v="7"/>
    <x v="6"/>
    <x v="6"/>
    <n v="99999"/>
    <s v="USA"/>
    <x v="5"/>
    <x v="3"/>
    <d v="2014-12-30T00:00:00"/>
    <s v="Shipping Company C"/>
    <s v="Amritansh Raghav"/>
    <s v="789 28th Street"/>
    <x v="6"/>
    <s v="TN"/>
    <n v="99999"/>
    <s v="USA"/>
    <s v="Check"/>
    <x v="5"/>
    <x v="0"/>
    <n v="46"/>
    <n v="16"/>
    <x v="129"/>
    <n v="73.600000000000009"/>
  </r>
  <r>
    <n v="1381"/>
    <x v="137"/>
    <x v="3"/>
    <x v="3"/>
    <x v="3"/>
    <x v="2"/>
    <x v="2"/>
    <n v="99999"/>
    <s v="USA"/>
    <x v="2"/>
    <x v="2"/>
    <d v="2014-12-10T00:00:00"/>
    <s v="Shipping Company C"/>
    <s v="Elizabeth Andersen"/>
    <s v="123 8th Street"/>
    <x v="2"/>
    <s v="OR"/>
    <n v="99999"/>
    <s v="USA"/>
    <s v="Check"/>
    <x v="7"/>
    <x v="3"/>
    <n v="12.75"/>
    <n v="41"/>
    <x v="87"/>
    <n v="51.229500000000002"/>
  </r>
  <r>
    <n v="1382"/>
    <x v="142"/>
    <x v="8"/>
    <x v="8"/>
    <x v="8"/>
    <x v="7"/>
    <x v="7"/>
    <n v="99999"/>
    <s v="USA"/>
    <x v="6"/>
    <x v="1"/>
    <d v="2014-12-12T00:00:00"/>
    <s v="Shipping Company B"/>
    <s v="Roland Wacker"/>
    <s v="123 10th Street"/>
    <x v="7"/>
    <s v="IL"/>
    <n v="99999"/>
    <s v="USA"/>
    <s v="Credit Card"/>
    <x v="10"/>
    <x v="0"/>
    <n v="2.99"/>
    <n v="41"/>
    <x v="281"/>
    <n v="12.871950000000002"/>
  </r>
  <r>
    <n v="1383"/>
    <x v="143"/>
    <x v="9"/>
    <x v="9"/>
    <x v="9"/>
    <x v="8"/>
    <x v="8"/>
    <n v="99999"/>
    <s v="USA"/>
    <x v="2"/>
    <x v="2"/>
    <m/>
    <m/>
    <s v="Ming-Yang Xie"/>
    <s v="123 7th Street"/>
    <x v="8"/>
    <s v="ID"/>
    <n v="99999"/>
    <s v="USA"/>
    <m/>
    <x v="5"/>
    <x v="0"/>
    <n v="46"/>
    <n v="41"/>
    <x v="282"/>
    <n v="194.25800000000004"/>
  </r>
  <r>
    <n v="1384"/>
    <x v="142"/>
    <x v="8"/>
    <x v="8"/>
    <x v="8"/>
    <x v="7"/>
    <x v="7"/>
    <n v="99999"/>
    <s v="USA"/>
    <x v="6"/>
    <x v="1"/>
    <d v="2014-12-12T00:00:00"/>
    <s v="Shipping Company A"/>
    <s v="Roland Wacker"/>
    <s v="123 10th Street"/>
    <x v="7"/>
    <s v="IL"/>
    <n v="99999"/>
    <s v="USA"/>
    <m/>
    <x v="11"/>
    <x v="6"/>
    <n v="25"/>
    <n v="94"/>
    <x v="283"/>
    <n v="235"/>
  </r>
  <r>
    <n v="1385"/>
    <x v="142"/>
    <x v="8"/>
    <x v="8"/>
    <x v="8"/>
    <x v="7"/>
    <x v="7"/>
    <n v="99999"/>
    <s v="USA"/>
    <x v="6"/>
    <x v="1"/>
    <d v="2014-12-12T00:00:00"/>
    <s v="Shipping Company A"/>
    <s v="Roland Wacker"/>
    <s v="123 10th Street"/>
    <x v="7"/>
    <s v="IL"/>
    <n v="99999"/>
    <s v="USA"/>
    <m/>
    <x v="12"/>
    <x v="7"/>
    <n v="22"/>
    <n v="20"/>
    <x v="284"/>
    <n v="46.2"/>
  </r>
  <r>
    <n v="1386"/>
    <x v="142"/>
    <x v="8"/>
    <x v="8"/>
    <x v="8"/>
    <x v="7"/>
    <x v="7"/>
    <n v="99999"/>
    <s v="USA"/>
    <x v="6"/>
    <x v="1"/>
    <n v="41985"/>
    <s v="Shipping Company A"/>
    <s v="Roland Wacker"/>
    <s v="123 10th Street"/>
    <x v="7"/>
    <s v="IL"/>
    <n v="99999"/>
    <s v="USA"/>
    <m/>
    <x v="6"/>
    <x v="2"/>
    <n v="9.1999999999999993"/>
    <n v="13"/>
    <x v="285"/>
    <n v="12.438400000000001"/>
  </r>
  <r>
    <n v="1387"/>
    <x v="144"/>
    <x v="10"/>
    <x v="10"/>
    <x v="10"/>
    <x v="9"/>
    <x v="9"/>
    <n v="99999"/>
    <s v="USA"/>
    <x v="5"/>
    <x v="3"/>
    <m/>
    <s v="Shipping Company C"/>
    <s v="Peter Krschne"/>
    <s v="123 11th Street"/>
    <x v="9"/>
    <s v="FL"/>
    <n v="99999"/>
    <s v="USA"/>
    <m/>
    <x v="1"/>
    <x v="1"/>
    <n v="3.5"/>
    <n v="74"/>
    <x v="58"/>
    <n v="26.936000000000003"/>
  </r>
  <r>
    <n v="1388"/>
    <x v="144"/>
    <x v="10"/>
    <x v="10"/>
    <x v="10"/>
    <x v="9"/>
    <x v="9"/>
    <n v="99999"/>
    <s v="USA"/>
    <x v="5"/>
    <x v="3"/>
    <m/>
    <s v="Shipping Company C"/>
    <s v="Peter Krschne"/>
    <s v="123 11th Street"/>
    <x v="9"/>
    <s v="FL"/>
    <n v="99999"/>
    <s v="USA"/>
    <m/>
    <x v="10"/>
    <x v="0"/>
    <n v="2.99"/>
    <n v="53"/>
    <x v="286"/>
    <n v="16.005470000000003"/>
  </r>
  <r>
    <n v="1389"/>
    <x v="145"/>
    <x v="11"/>
    <x v="11"/>
    <x v="11"/>
    <x v="10"/>
    <x v="10"/>
    <n v="99999"/>
    <s v="USA"/>
    <x v="2"/>
    <x v="2"/>
    <m/>
    <m/>
    <s v="Anna Bedecs"/>
    <s v="123 1st Street"/>
    <x v="10"/>
    <s v="WA"/>
    <n v="99999"/>
    <s v="USA"/>
    <m/>
    <x v="4"/>
    <x v="0"/>
    <n v="18"/>
    <n v="99"/>
    <x v="287"/>
    <n v="174.63600000000002"/>
  </r>
  <r>
    <n v="1390"/>
    <x v="145"/>
    <x v="11"/>
    <x v="11"/>
    <x v="11"/>
    <x v="10"/>
    <x v="10"/>
    <n v="99999"/>
    <s v="USA"/>
    <x v="2"/>
    <x v="2"/>
    <m/>
    <m/>
    <s v="Anna Bedecs"/>
    <s v="123 1st Street"/>
    <x v="10"/>
    <s v="WA"/>
    <n v="99999"/>
    <s v="USA"/>
    <m/>
    <x v="5"/>
    <x v="0"/>
    <n v="46"/>
    <n v="89"/>
    <x v="288"/>
    <n v="388.93"/>
  </r>
  <r>
    <n v="1391"/>
    <x v="145"/>
    <x v="11"/>
    <x v="11"/>
    <x v="11"/>
    <x v="10"/>
    <x v="10"/>
    <n v="99999"/>
    <s v="USA"/>
    <x v="2"/>
    <x v="2"/>
    <m/>
    <m/>
    <s v="Anna Bedecs"/>
    <s v="123 1st Street"/>
    <x v="10"/>
    <s v="WA"/>
    <n v="99999"/>
    <s v="USA"/>
    <m/>
    <x v="10"/>
    <x v="0"/>
    <n v="2.99"/>
    <n v="64"/>
    <x v="200"/>
    <n v="19.518720000000002"/>
  </r>
  <r>
    <n v="1392"/>
    <x v="141"/>
    <x v="7"/>
    <x v="7"/>
    <x v="7"/>
    <x v="6"/>
    <x v="6"/>
    <n v="99999"/>
    <s v="USA"/>
    <x v="5"/>
    <x v="3"/>
    <d v="2014-12-30T00:00:00"/>
    <s v="Shipping Company C"/>
    <s v="Amritansh Raghav"/>
    <s v="789 28th Street"/>
    <x v="6"/>
    <s v="TN"/>
    <n v="99999"/>
    <s v="USA"/>
    <s v="Credit Card"/>
    <x v="8"/>
    <x v="4"/>
    <n v="9.65"/>
    <n v="98"/>
    <x v="289"/>
    <n v="96.461400000000012"/>
  </r>
  <r>
    <n v="1393"/>
    <x v="141"/>
    <x v="7"/>
    <x v="7"/>
    <x v="7"/>
    <x v="6"/>
    <x v="6"/>
    <n v="99999"/>
    <s v="USA"/>
    <x v="5"/>
    <x v="3"/>
    <d v="2014-12-30T00:00:00"/>
    <s v="Shipping Company C"/>
    <s v="Amritansh Raghav"/>
    <s v="789 28th Street"/>
    <x v="6"/>
    <s v="TN"/>
    <n v="99999"/>
    <s v="USA"/>
    <s v="Credit Card"/>
    <x v="13"/>
    <x v="8"/>
    <n v="18.399999999999999"/>
    <n v="86"/>
    <x v="290"/>
    <n v="155.0752"/>
  </r>
  <r>
    <n v="1394"/>
    <x v="146"/>
    <x v="12"/>
    <x v="12"/>
    <x v="12"/>
    <x v="11"/>
    <x v="11"/>
    <n v="99999"/>
    <s v="USA"/>
    <x v="7"/>
    <x v="0"/>
    <d v="2014-12-11T00:00:00"/>
    <s v="Shipping Company A"/>
    <s v="Sven Mortensen"/>
    <s v="123 9th Street"/>
    <x v="11"/>
    <s v="UT"/>
    <n v="99999"/>
    <s v="USA"/>
    <s v="Check"/>
    <x v="14"/>
    <x v="9"/>
    <n v="19.5"/>
    <n v="20"/>
    <x v="291"/>
    <n v="40.950000000000003"/>
  </r>
  <r>
    <n v="1395"/>
    <x v="146"/>
    <x v="12"/>
    <x v="12"/>
    <x v="12"/>
    <x v="11"/>
    <x v="11"/>
    <n v="99999"/>
    <s v="USA"/>
    <x v="7"/>
    <x v="0"/>
    <d v="2014-12-11T00:00:00"/>
    <s v="Shipping Company A"/>
    <s v="Sven Mortensen"/>
    <s v="123 9th Street"/>
    <x v="11"/>
    <s v="UT"/>
    <n v="99999"/>
    <s v="USA"/>
    <s v="Check"/>
    <x v="15"/>
    <x v="10"/>
    <n v="34.799999999999997"/>
    <n v="69"/>
    <x v="292"/>
    <n v="240.12"/>
  </r>
  <r>
    <n v="1396"/>
    <x v="140"/>
    <x v="6"/>
    <x v="6"/>
    <x v="6"/>
    <x v="5"/>
    <x v="5"/>
    <n v="99999"/>
    <s v="USA"/>
    <x v="4"/>
    <x v="2"/>
    <d v="2014-12-08T00:00:00"/>
    <s v="Shipping Company B"/>
    <s v="Francisco Pérez-Olaeta"/>
    <s v="123 6th Street"/>
    <x v="5"/>
    <s v="WI"/>
    <n v="99999"/>
    <s v="USA"/>
    <s v="Credit Card"/>
    <x v="0"/>
    <x v="0"/>
    <n v="14"/>
    <n v="68"/>
    <x v="293"/>
    <n v="91.391999999999996"/>
  </r>
  <r>
    <n v="1397"/>
    <x v="137"/>
    <x v="3"/>
    <x v="3"/>
    <x v="3"/>
    <x v="2"/>
    <x v="2"/>
    <n v="99999"/>
    <s v="USA"/>
    <x v="2"/>
    <x v="2"/>
    <d v="2014-12-10T00:00:00"/>
    <s v="Shipping Company B"/>
    <s v="Elizabeth Andersen"/>
    <s v="123 8th Street"/>
    <x v="2"/>
    <s v="OR"/>
    <n v="99999"/>
    <s v="USA"/>
    <s v="Check"/>
    <x v="9"/>
    <x v="5"/>
    <n v="40"/>
    <n v="52"/>
    <x v="294"/>
    <n v="203.84"/>
  </r>
  <r>
    <n v="1398"/>
    <x v="137"/>
    <x v="3"/>
    <x v="3"/>
    <x v="3"/>
    <x v="2"/>
    <x v="2"/>
    <n v="99999"/>
    <s v="USA"/>
    <x v="2"/>
    <x v="2"/>
    <d v="2014-12-10T00:00:00"/>
    <s v="Shipping Company B"/>
    <s v="Elizabeth Andersen"/>
    <s v="123 8th Street"/>
    <x v="2"/>
    <s v="OR"/>
    <n v="99999"/>
    <s v="USA"/>
    <s v="Check"/>
    <x v="6"/>
    <x v="2"/>
    <n v="9.1999999999999993"/>
    <n v="40"/>
    <x v="295"/>
    <n v="38.640000000000008"/>
  </r>
  <r>
    <n v="1399"/>
    <x v="147"/>
    <x v="13"/>
    <x v="13"/>
    <x v="13"/>
    <x v="7"/>
    <x v="7"/>
    <n v="99999"/>
    <s v="USA"/>
    <x v="6"/>
    <x v="1"/>
    <d v="2014-12-27T00:00:00"/>
    <s v="Shipping Company A"/>
    <s v="John Rodman"/>
    <s v="789 25th Street"/>
    <x v="7"/>
    <s v="IL"/>
    <n v="99999"/>
    <s v="USA"/>
    <s v="Cash"/>
    <x v="21"/>
    <x v="2"/>
    <n v="10"/>
    <n v="100"/>
    <x v="116"/>
    <n v="98"/>
  </r>
  <r>
    <n v="1400"/>
    <x v="148"/>
    <x v="14"/>
    <x v="14"/>
    <x v="14"/>
    <x v="9"/>
    <x v="9"/>
    <n v="99999"/>
    <s v="USA"/>
    <x v="5"/>
    <x v="3"/>
    <d v="2014-12-28T00:00:00"/>
    <s v="Shipping Company C"/>
    <s v="Run Liu"/>
    <s v="789 26th Street"/>
    <x v="9"/>
    <s v="FL"/>
    <n v="99999"/>
    <s v="USA"/>
    <s v="Credit Card"/>
    <x v="22"/>
    <x v="13"/>
    <n v="21.35"/>
    <n v="88"/>
    <x v="296"/>
    <n v="184.12240000000003"/>
  </r>
  <r>
    <n v="1401"/>
    <x v="148"/>
    <x v="14"/>
    <x v="14"/>
    <x v="14"/>
    <x v="9"/>
    <x v="9"/>
    <n v="99999"/>
    <s v="USA"/>
    <x v="5"/>
    <x v="3"/>
    <d v="2014-12-28T00:00:00"/>
    <s v="Shipping Company C"/>
    <s v="Run Liu"/>
    <s v="789 26th Street"/>
    <x v="9"/>
    <s v="FL"/>
    <n v="99999"/>
    <s v="USA"/>
    <s v="Credit Card"/>
    <x v="8"/>
    <x v="4"/>
    <n v="9.65"/>
    <n v="46"/>
    <x v="256"/>
    <n v="42.614400000000003"/>
  </r>
  <r>
    <n v="1402"/>
    <x v="148"/>
    <x v="14"/>
    <x v="14"/>
    <x v="14"/>
    <x v="9"/>
    <x v="9"/>
    <n v="99999"/>
    <s v="USA"/>
    <x v="5"/>
    <x v="3"/>
    <d v="2014-12-28T00:00:00"/>
    <s v="Shipping Company C"/>
    <s v="Run Liu"/>
    <s v="789 26th Street"/>
    <x v="9"/>
    <s v="FL"/>
    <n v="99999"/>
    <s v="USA"/>
    <s v="Credit Card"/>
    <x v="13"/>
    <x v="8"/>
    <n v="18.399999999999999"/>
    <n v="93"/>
    <x v="297"/>
    <n v="167.69759999999999"/>
  </r>
  <r>
    <n v="1403"/>
    <x v="138"/>
    <x v="4"/>
    <x v="4"/>
    <x v="4"/>
    <x v="3"/>
    <x v="3"/>
    <n v="99999"/>
    <s v="USA"/>
    <x v="3"/>
    <x v="0"/>
    <d v="2014-12-31T00:00:00"/>
    <s v="Shipping Company B"/>
    <s v="Soo Jung Lee"/>
    <s v="789 29th Street"/>
    <x v="3"/>
    <s v="CO"/>
    <n v="99999"/>
    <s v="USA"/>
    <s v="Check"/>
    <x v="0"/>
    <x v="0"/>
    <n v="14"/>
    <n v="96"/>
    <x v="298"/>
    <n v="141.12"/>
  </r>
  <r>
    <n v="1404"/>
    <x v="140"/>
    <x v="6"/>
    <x v="6"/>
    <x v="6"/>
    <x v="5"/>
    <x v="5"/>
    <n v="99999"/>
    <s v="USA"/>
    <x v="4"/>
    <x v="2"/>
    <d v="2014-12-08T00:00:00"/>
    <s v="Shipping Company C"/>
    <s v="Francisco Pérez-Olaeta"/>
    <s v="123 6th Street"/>
    <x v="5"/>
    <s v="WI"/>
    <n v="99999"/>
    <s v="USA"/>
    <s v="Check"/>
    <x v="7"/>
    <x v="3"/>
    <n v="12.75"/>
    <n v="12"/>
    <x v="299"/>
    <n v="16.065000000000001"/>
  </r>
  <r>
    <n v="1406"/>
    <x v="135"/>
    <x v="1"/>
    <x v="1"/>
    <x v="1"/>
    <x v="1"/>
    <x v="1"/>
    <n v="99999"/>
    <s v="USA"/>
    <x v="1"/>
    <x v="1"/>
    <d v="2014-12-06T00:00:00"/>
    <s v="Shipping Company A"/>
    <s v="Christina Lee"/>
    <s v="123 4th Street"/>
    <x v="1"/>
    <s v="NY"/>
    <n v="99999"/>
    <s v="USA"/>
    <s v="Credit Card"/>
    <x v="23"/>
    <x v="6"/>
    <n v="81"/>
    <n v="38"/>
    <x v="300"/>
    <n v="292.41000000000003"/>
  </r>
  <r>
    <n v="1407"/>
    <x v="135"/>
    <x v="1"/>
    <x v="1"/>
    <x v="1"/>
    <x v="1"/>
    <x v="1"/>
    <n v="99999"/>
    <s v="USA"/>
    <x v="1"/>
    <x v="1"/>
    <d v="2014-12-06T00:00:00"/>
    <s v="Shipping Company A"/>
    <s v="Christina Lee"/>
    <s v="123 4th Street"/>
    <x v="1"/>
    <s v="NY"/>
    <n v="99999"/>
    <s v="USA"/>
    <s v="Credit Card"/>
    <x v="24"/>
    <x v="14"/>
    <n v="7"/>
    <n v="42"/>
    <x v="108"/>
    <n v="29.106000000000002"/>
  </r>
  <r>
    <n v="1409"/>
    <x v="137"/>
    <x v="3"/>
    <x v="3"/>
    <x v="3"/>
    <x v="2"/>
    <x v="2"/>
    <n v="99999"/>
    <s v="USA"/>
    <x v="2"/>
    <x v="2"/>
    <d v="2014-12-10T00:00:00"/>
    <s v="Shipping Company C"/>
    <s v="Elizabeth Andersen"/>
    <s v="123 8th Street"/>
    <x v="2"/>
    <s v="OR"/>
    <n v="99999"/>
    <s v="USA"/>
    <s v="Credit Card"/>
    <x v="15"/>
    <x v="10"/>
    <n v="34.799999999999997"/>
    <n v="100"/>
    <x v="301"/>
    <n v="344.52"/>
  </r>
  <r>
    <n v="1412"/>
    <x v="139"/>
    <x v="5"/>
    <x v="5"/>
    <x v="5"/>
    <x v="4"/>
    <x v="4"/>
    <n v="99999"/>
    <s v="USA"/>
    <x v="0"/>
    <x v="0"/>
    <d v="2014-12-05T00:00:00"/>
    <s v="Shipping Company B"/>
    <s v="Thomas Axerr"/>
    <s v="123 3rd Street"/>
    <x v="4"/>
    <s v="CA"/>
    <n v="99999"/>
    <s v="USA"/>
    <s v="Cash"/>
    <x v="16"/>
    <x v="7"/>
    <n v="10"/>
    <n v="89"/>
    <x v="302"/>
    <n v="87.22"/>
  </r>
  <r>
    <n v="1413"/>
    <x v="139"/>
    <x v="5"/>
    <x v="5"/>
    <x v="5"/>
    <x v="4"/>
    <x v="4"/>
    <n v="99999"/>
    <s v="USA"/>
    <x v="0"/>
    <x v="0"/>
    <d v="2014-12-05T00:00:00"/>
    <s v="Shipping Company B"/>
    <s v="Thomas Axerr"/>
    <s v="123 3rd Street"/>
    <x v="4"/>
    <s v="CA"/>
    <n v="99999"/>
    <s v="USA"/>
    <s v="Cash"/>
    <x v="9"/>
    <x v="5"/>
    <n v="40"/>
    <n v="12"/>
    <x v="60"/>
    <n v="46.56"/>
  </r>
  <r>
    <n v="1417"/>
    <x v="142"/>
    <x v="8"/>
    <x v="8"/>
    <x v="8"/>
    <x v="7"/>
    <x v="7"/>
    <n v="99999"/>
    <s v="USA"/>
    <x v="6"/>
    <x v="1"/>
    <d v="2014-12-12T00:00:00"/>
    <s v="Shipping Company B"/>
    <s v="Roland Wacker"/>
    <s v="123 10th Street"/>
    <x v="7"/>
    <s v="IL"/>
    <n v="99999"/>
    <s v="USA"/>
    <s v="Credit Card"/>
    <x v="18"/>
    <x v="1"/>
    <n v="10"/>
    <n v="97"/>
    <x v="303"/>
    <n v="100.88000000000001"/>
  </r>
  <r>
    <n v="1419"/>
    <x v="142"/>
    <x v="8"/>
    <x v="8"/>
    <x v="8"/>
    <x v="7"/>
    <x v="7"/>
    <n v="99999"/>
    <s v="USA"/>
    <x v="6"/>
    <x v="1"/>
    <m/>
    <s v="Shipping Company A"/>
    <s v="Roland Wacker"/>
    <s v="123 10th Street"/>
    <x v="7"/>
    <s v="IL"/>
    <n v="99999"/>
    <s v="USA"/>
    <m/>
    <x v="1"/>
    <x v="1"/>
    <n v="3.5"/>
    <n v="53"/>
    <x v="304"/>
    <n v="17.622499999999999"/>
  </r>
  <r>
    <n v="1420"/>
    <x v="144"/>
    <x v="10"/>
    <x v="10"/>
    <x v="10"/>
    <x v="9"/>
    <x v="9"/>
    <n v="99999"/>
    <s v="USA"/>
    <x v="5"/>
    <x v="3"/>
    <m/>
    <s v="Shipping Company C"/>
    <s v="Peter Krschne"/>
    <s v="123 11th Street"/>
    <x v="9"/>
    <s v="FL"/>
    <n v="99999"/>
    <s v="USA"/>
    <m/>
    <x v="9"/>
    <x v="5"/>
    <n v="40"/>
    <n v="61"/>
    <x v="305"/>
    <n v="248.88"/>
  </r>
  <r>
    <n v="1421"/>
    <x v="145"/>
    <x v="11"/>
    <x v="11"/>
    <x v="11"/>
    <x v="10"/>
    <x v="10"/>
    <n v="99999"/>
    <s v="USA"/>
    <x v="2"/>
    <x v="2"/>
    <m/>
    <s v="Shipping Company C"/>
    <s v="Anna Bedecs"/>
    <s v="123 1st Street"/>
    <x v="10"/>
    <s v="WA"/>
    <n v="99999"/>
    <s v="USA"/>
    <m/>
    <x v="13"/>
    <x v="8"/>
    <n v="18.399999999999999"/>
    <n v="45"/>
    <x v="306"/>
    <n v="81.143999999999991"/>
  </r>
  <r>
    <n v="1422"/>
    <x v="141"/>
    <x v="7"/>
    <x v="7"/>
    <x v="7"/>
    <x v="6"/>
    <x v="6"/>
    <n v="99999"/>
    <s v="USA"/>
    <x v="5"/>
    <x v="3"/>
    <d v="2014-12-30T00:00:00"/>
    <s v="Shipping Company C"/>
    <s v="Amritansh Raghav"/>
    <s v="789 28th Street"/>
    <x v="6"/>
    <s v="TN"/>
    <n v="99999"/>
    <s v="USA"/>
    <s v="Credit Card"/>
    <x v="5"/>
    <x v="0"/>
    <n v="46"/>
    <n v="43"/>
    <x v="307"/>
    <n v="197.8"/>
  </r>
  <r>
    <n v="1423"/>
    <x v="146"/>
    <x v="12"/>
    <x v="12"/>
    <x v="12"/>
    <x v="11"/>
    <x v="11"/>
    <n v="99999"/>
    <s v="USA"/>
    <x v="7"/>
    <x v="0"/>
    <d v="2014-12-11T00:00:00"/>
    <s v="Shipping Company A"/>
    <s v="Sven Mortensen"/>
    <s v="123 9th Street"/>
    <x v="11"/>
    <s v="UT"/>
    <n v="99999"/>
    <s v="USA"/>
    <s v="Check"/>
    <x v="8"/>
    <x v="4"/>
    <n v="9.65"/>
    <n v="18"/>
    <x v="308"/>
    <n v="16.5015"/>
  </r>
  <r>
    <n v="1424"/>
    <x v="140"/>
    <x v="6"/>
    <x v="6"/>
    <x v="6"/>
    <x v="5"/>
    <x v="5"/>
    <n v="99999"/>
    <s v="USA"/>
    <x v="4"/>
    <x v="2"/>
    <d v="2014-12-08T00:00:00"/>
    <s v="Shipping Company B"/>
    <s v="Francisco Pérez-Olaeta"/>
    <s v="123 6th Street"/>
    <x v="5"/>
    <s v="WI"/>
    <n v="99999"/>
    <s v="USA"/>
    <s v="Credit Card"/>
    <x v="7"/>
    <x v="3"/>
    <n v="12.75"/>
    <n v="41"/>
    <x v="87"/>
    <n v="50.706750000000007"/>
  </r>
  <r>
    <n v="1425"/>
    <x v="137"/>
    <x v="3"/>
    <x v="3"/>
    <x v="3"/>
    <x v="2"/>
    <x v="2"/>
    <n v="99999"/>
    <s v="USA"/>
    <x v="2"/>
    <x v="2"/>
    <n v="41983"/>
    <s v="Shipping Company B"/>
    <s v="Elizabeth Andersen"/>
    <s v="123 8th Street"/>
    <x v="2"/>
    <s v="OR"/>
    <n v="99999"/>
    <s v="USA"/>
    <s v="Check"/>
    <x v="7"/>
    <x v="3"/>
    <n v="12.75"/>
    <n v="19"/>
    <x v="109"/>
    <n v="23.982750000000003"/>
  </r>
  <r>
    <n v="1426"/>
    <x v="147"/>
    <x v="13"/>
    <x v="13"/>
    <x v="13"/>
    <x v="7"/>
    <x v="7"/>
    <n v="99999"/>
    <s v="USA"/>
    <x v="6"/>
    <x v="1"/>
    <n v="42000"/>
    <s v="Shipping Company A"/>
    <s v="John Rodman"/>
    <s v="789 25th Street"/>
    <x v="7"/>
    <s v="IL"/>
    <n v="99999"/>
    <s v="USA"/>
    <s v="Cash"/>
    <x v="12"/>
    <x v="7"/>
    <n v="22"/>
    <n v="65"/>
    <x v="309"/>
    <n v="138.71"/>
  </r>
  <r>
    <n v="1427"/>
    <x v="148"/>
    <x v="14"/>
    <x v="14"/>
    <x v="14"/>
    <x v="9"/>
    <x v="9"/>
    <n v="99999"/>
    <s v="USA"/>
    <x v="5"/>
    <x v="3"/>
    <n v="42001"/>
    <s v="Shipping Company C"/>
    <s v="Run Liu"/>
    <s v="789 26th Street"/>
    <x v="9"/>
    <s v="FL"/>
    <n v="99999"/>
    <s v="USA"/>
    <s v="Credit Card"/>
    <x v="11"/>
    <x v="6"/>
    <n v="25"/>
    <n v="13"/>
    <x v="310"/>
    <n v="32.174999999999997"/>
  </r>
  <r>
    <n v="1428"/>
    <x v="138"/>
    <x v="4"/>
    <x v="4"/>
    <x v="4"/>
    <x v="3"/>
    <x v="3"/>
    <n v="99999"/>
    <s v="USA"/>
    <x v="3"/>
    <x v="0"/>
    <n v="42004"/>
    <s v="Shipping Company B"/>
    <s v="Soo Jung Lee"/>
    <s v="789 29th Street"/>
    <x v="3"/>
    <s v="CO"/>
    <n v="99999"/>
    <s v="USA"/>
    <s v="Check"/>
    <x v="19"/>
    <x v="12"/>
    <n v="39"/>
    <n v="54"/>
    <x v="311"/>
    <n v="214.81200000000004"/>
  </r>
  <r>
    <n v="1429"/>
    <x v="140"/>
    <x v="6"/>
    <x v="6"/>
    <x v="6"/>
    <x v="5"/>
    <x v="5"/>
    <n v="99999"/>
    <s v="USA"/>
    <x v="4"/>
    <x v="2"/>
    <d v="2014-12-08T00:00:00"/>
    <s v="Shipping Company C"/>
    <s v="Francisco Pérez-Olaeta"/>
    <s v="123 6th Street"/>
    <x v="5"/>
    <s v="WI"/>
    <n v="99999"/>
    <s v="USA"/>
    <s v="Check"/>
    <x v="2"/>
    <x v="1"/>
    <n v="30"/>
    <n v="33"/>
    <x v="82"/>
    <n v="95.039999999999992"/>
  </r>
  <r>
    <n v="1430"/>
    <x v="140"/>
    <x v="6"/>
    <x v="6"/>
    <x v="6"/>
    <x v="5"/>
    <x v="5"/>
    <n v="99999"/>
    <s v="USA"/>
    <x v="4"/>
    <x v="2"/>
    <d v="2014-12-08T00:00:00"/>
    <s v="Shipping Company C"/>
    <s v="Francisco Pérez-Olaeta"/>
    <s v="123 6th Street"/>
    <x v="5"/>
    <s v="WI"/>
    <n v="99999"/>
    <s v="USA"/>
    <s v="Check"/>
    <x v="3"/>
    <x v="1"/>
    <n v="53"/>
    <n v="34"/>
    <x v="312"/>
    <n v="185.60600000000002"/>
  </r>
  <r>
    <n v="1431"/>
    <x v="135"/>
    <x v="1"/>
    <x v="1"/>
    <x v="1"/>
    <x v="1"/>
    <x v="1"/>
    <n v="99999"/>
    <s v="USA"/>
    <x v="1"/>
    <x v="1"/>
    <m/>
    <m/>
    <s v="Christina Lee"/>
    <s v="123 4th Street"/>
    <x v="1"/>
    <s v="NY"/>
    <n v="99999"/>
    <s v="USA"/>
    <m/>
    <x v="20"/>
    <x v="9"/>
    <n v="38"/>
    <n v="59"/>
    <x v="313"/>
    <n v="226.44200000000001"/>
  </r>
  <r>
    <n v="1432"/>
    <x v="139"/>
    <x v="5"/>
    <x v="5"/>
    <x v="5"/>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C82B3F-273C-48DB-9810-2776718DB84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3:B16" firstHeaderRow="1" firstDataRow="1" firstDataCol="1"/>
  <pivotFields count="27">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6"/>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6"/>
  </dataFields>
  <formats count="1">
    <format dxfId="1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27"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26" count="1" selected="0">
            <x v="7"/>
          </reference>
        </references>
      </pivotArea>
    </chartFormat>
    <chartFormat chart="16" format="9">
      <pivotArea type="data" outline="0" fieldPosition="0">
        <references count="2">
          <reference field="4294967294" count="1" selected="0">
            <x v="0"/>
          </reference>
          <reference field="26" count="1" selected="0">
            <x v="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613C20-E807-47A5-8046-603B26B0EE1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14" firstHeaderRow="1" firstDataRow="1" firstDataCol="1"/>
  <pivotFields count="2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3"/>
  </rowFields>
  <rowItems count="11">
    <i>
      <x v="5"/>
    </i>
    <i>
      <x v="8"/>
    </i>
    <i>
      <x v="2"/>
    </i>
    <i>
      <x v="6"/>
    </i>
    <i>
      <x/>
    </i>
    <i>
      <x v="9"/>
    </i>
    <i>
      <x v="10"/>
    </i>
    <i>
      <x v="14"/>
    </i>
    <i>
      <x v="3"/>
    </i>
    <i>
      <x v="11"/>
    </i>
    <i t="grand">
      <x/>
    </i>
  </rowItems>
  <colItems count="1">
    <i/>
  </colItems>
  <dataFields count="1">
    <dataField name="Sum of Revenue" fld="24" baseField="0" baseItem="0" numFmtId="166"/>
  </dataFields>
  <formats count="1">
    <format dxfId="15">
      <pivotArea outline="0" collapsedLevelsAreSubtotals="1" fieldPosition="0"/>
    </format>
  </formats>
  <chartFormats count="24">
    <chartFormat chart="0" format="0" series="1">
      <pivotArea type="data" outline="0" fieldPosition="0">
        <references count="1">
          <reference field="4294967294" count="1" selected="0">
            <x v="0"/>
          </reference>
        </references>
      </pivotArea>
    </chartFormat>
    <chartFormat chart="6" format="27"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3" count="1" selected="0">
            <x v="5"/>
          </reference>
        </references>
      </pivotArea>
    </chartFormat>
    <chartFormat chart="7" format="19">
      <pivotArea type="data" outline="0" fieldPosition="0">
        <references count="2">
          <reference field="4294967294" count="1" selected="0">
            <x v="0"/>
          </reference>
          <reference field="3" count="1" selected="0">
            <x v="11"/>
          </reference>
        </references>
      </pivotArea>
    </chartFormat>
    <chartFormat chart="7" format="20">
      <pivotArea type="data" outline="0" fieldPosition="0">
        <references count="2">
          <reference field="4294967294" count="1" selected="0">
            <x v="0"/>
          </reference>
          <reference field="3" count="1" selected="0">
            <x v="3"/>
          </reference>
        </references>
      </pivotArea>
    </chartFormat>
    <chartFormat chart="7" format="21">
      <pivotArea type="data" outline="0" fieldPosition="0">
        <references count="2">
          <reference field="4294967294" count="1" selected="0">
            <x v="0"/>
          </reference>
          <reference field="3" count="1" selected="0">
            <x v="14"/>
          </reference>
        </references>
      </pivotArea>
    </chartFormat>
    <chartFormat chart="7" format="22">
      <pivotArea type="data" outline="0" fieldPosition="0">
        <references count="2">
          <reference field="4294967294" count="1" selected="0">
            <x v="0"/>
          </reference>
          <reference field="3" count="1" selected="0">
            <x v="10"/>
          </reference>
        </references>
      </pivotArea>
    </chartFormat>
    <chartFormat chart="7" format="23">
      <pivotArea type="data" outline="0" fieldPosition="0">
        <references count="2">
          <reference field="4294967294" count="1" selected="0">
            <x v="0"/>
          </reference>
          <reference field="3" count="1" selected="0">
            <x v="9"/>
          </reference>
        </references>
      </pivotArea>
    </chartFormat>
    <chartFormat chart="7" format="24">
      <pivotArea type="data" outline="0" fieldPosition="0">
        <references count="2">
          <reference field="4294967294" count="1" selected="0">
            <x v="0"/>
          </reference>
          <reference field="3" count="1" selected="0">
            <x v="0"/>
          </reference>
        </references>
      </pivotArea>
    </chartFormat>
    <chartFormat chart="7" format="25">
      <pivotArea type="data" outline="0" fieldPosition="0">
        <references count="2">
          <reference field="4294967294" count="1" selected="0">
            <x v="0"/>
          </reference>
          <reference field="3" count="1" selected="0">
            <x v="6"/>
          </reference>
        </references>
      </pivotArea>
    </chartFormat>
    <chartFormat chart="7" format="26">
      <pivotArea type="data" outline="0" fieldPosition="0">
        <references count="2">
          <reference field="4294967294" count="1" selected="0">
            <x v="0"/>
          </reference>
          <reference field="3" count="1" selected="0">
            <x v="2"/>
          </reference>
        </references>
      </pivotArea>
    </chartFormat>
    <chartFormat chart="7" format="27">
      <pivotArea type="data" outline="0" fieldPosition="0">
        <references count="2">
          <reference field="4294967294" count="1" selected="0">
            <x v="0"/>
          </reference>
          <reference field="3" count="1" selected="0">
            <x v="8"/>
          </reference>
        </references>
      </pivotArea>
    </chartFormat>
    <chartFormat chart="12" format="61" series="1">
      <pivotArea type="data" outline="0" fieldPosition="0">
        <references count="1">
          <reference field="4294967294" count="1" selected="0">
            <x v="0"/>
          </reference>
        </references>
      </pivotArea>
    </chartFormat>
    <chartFormat chart="12" format="62">
      <pivotArea type="data" outline="0" fieldPosition="0">
        <references count="2">
          <reference field="4294967294" count="1" selected="0">
            <x v="0"/>
          </reference>
          <reference field="3" count="1" selected="0">
            <x v="5"/>
          </reference>
        </references>
      </pivotArea>
    </chartFormat>
    <chartFormat chart="12" format="63">
      <pivotArea type="data" outline="0" fieldPosition="0">
        <references count="2">
          <reference field="4294967294" count="1" selected="0">
            <x v="0"/>
          </reference>
          <reference field="3" count="1" selected="0">
            <x v="8"/>
          </reference>
        </references>
      </pivotArea>
    </chartFormat>
    <chartFormat chart="12" format="64">
      <pivotArea type="data" outline="0" fieldPosition="0">
        <references count="2">
          <reference field="4294967294" count="1" selected="0">
            <x v="0"/>
          </reference>
          <reference field="3" count="1" selected="0">
            <x v="2"/>
          </reference>
        </references>
      </pivotArea>
    </chartFormat>
    <chartFormat chart="12" format="65">
      <pivotArea type="data" outline="0" fieldPosition="0">
        <references count="2">
          <reference field="4294967294" count="1" selected="0">
            <x v="0"/>
          </reference>
          <reference field="3" count="1" selected="0">
            <x v="6"/>
          </reference>
        </references>
      </pivotArea>
    </chartFormat>
    <chartFormat chart="12" format="66">
      <pivotArea type="data" outline="0" fieldPosition="0">
        <references count="2">
          <reference field="4294967294" count="1" selected="0">
            <x v="0"/>
          </reference>
          <reference field="3" count="1" selected="0">
            <x v="0"/>
          </reference>
        </references>
      </pivotArea>
    </chartFormat>
    <chartFormat chart="12" format="67">
      <pivotArea type="data" outline="0" fieldPosition="0">
        <references count="2">
          <reference field="4294967294" count="1" selected="0">
            <x v="0"/>
          </reference>
          <reference field="3" count="1" selected="0">
            <x v="9"/>
          </reference>
        </references>
      </pivotArea>
    </chartFormat>
    <chartFormat chart="12" format="68">
      <pivotArea type="data" outline="0" fieldPosition="0">
        <references count="2">
          <reference field="4294967294" count="1" selected="0">
            <x v="0"/>
          </reference>
          <reference field="3" count="1" selected="0">
            <x v="10"/>
          </reference>
        </references>
      </pivotArea>
    </chartFormat>
    <chartFormat chart="12" format="69">
      <pivotArea type="data" outline="0" fieldPosition="0">
        <references count="2">
          <reference field="4294967294" count="1" selected="0">
            <x v="0"/>
          </reference>
          <reference field="3" count="1" selected="0">
            <x v="14"/>
          </reference>
        </references>
      </pivotArea>
    </chartFormat>
    <chartFormat chart="12" format="70">
      <pivotArea type="data" outline="0" fieldPosition="0">
        <references count="2">
          <reference field="4294967294" count="1" selected="0">
            <x v="0"/>
          </reference>
          <reference field="3" count="1" selected="0">
            <x v="3"/>
          </reference>
        </references>
      </pivotArea>
    </chartFormat>
    <chartFormat chart="12" format="71">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C98A31-4D7B-43C0-9E1F-A07638FDB9C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2" firstHeaderRow="1" firstDataRow="1" firstDataCol="1"/>
  <pivotFields count="2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axis="axisRow" showAll="0" sortType="descending">
      <items count="9">
        <item x="7"/>
        <item x="2"/>
        <item x="4"/>
        <item x="0"/>
        <item x="6"/>
        <item x="3"/>
        <item x="5"/>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9"/>
  </rowFields>
  <rowItems count="9">
    <i>
      <x v="1"/>
    </i>
    <i>
      <x v="6"/>
    </i>
    <i>
      <x v="7"/>
    </i>
    <i>
      <x v="3"/>
    </i>
    <i>
      <x v="4"/>
    </i>
    <i>
      <x v="2"/>
    </i>
    <i>
      <x/>
    </i>
    <i>
      <x v="5"/>
    </i>
    <i t="grand">
      <x/>
    </i>
  </rowItems>
  <colItems count="1">
    <i/>
  </colItems>
  <dataFields count="1">
    <dataField name="Sum of Revenue" fld="24" baseField="0" baseItem="0" numFmtId="166"/>
  </dataFields>
  <formats count="1">
    <format dxfId="14">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6"/>
          </reference>
        </references>
      </pivotArea>
    </chartFormat>
    <chartFormat chart="0" format="3">
      <pivotArea type="data" outline="0" fieldPosition="0">
        <references count="2">
          <reference field="4294967294" count="1" selected="0">
            <x v="0"/>
          </reference>
          <reference field="9" count="1" selected="0">
            <x v="7"/>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2"/>
          </reference>
        </references>
      </pivotArea>
    </chartFormat>
    <chartFormat chart="0" format="7">
      <pivotArea type="data" outline="0" fieldPosition="0">
        <references count="2">
          <reference field="4294967294" count="1" selected="0">
            <x v="0"/>
          </reference>
          <reference field="9" count="1" selected="0">
            <x v="0"/>
          </reference>
        </references>
      </pivotArea>
    </chartFormat>
    <chartFormat chart="0" format="8">
      <pivotArea type="data" outline="0" fieldPosition="0">
        <references count="2">
          <reference field="4294967294" count="1" selected="0">
            <x v="0"/>
          </reference>
          <reference field="9" count="1" selected="0">
            <x v="5"/>
          </reference>
        </references>
      </pivotArea>
    </chartFormat>
    <chartFormat chart="8" format="45" series="1">
      <pivotArea type="data" outline="0" fieldPosition="0">
        <references count="1">
          <reference field="4294967294" count="1" selected="0">
            <x v="0"/>
          </reference>
        </references>
      </pivotArea>
    </chartFormat>
    <chartFormat chart="8" format="46">
      <pivotArea type="data" outline="0" fieldPosition="0">
        <references count="2">
          <reference field="4294967294" count="1" selected="0">
            <x v="0"/>
          </reference>
          <reference field="9" count="1" selected="0">
            <x v="1"/>
          </reference>
        </references>
      </pivotArea>
    </chartFormat>
    <chartFormat chart="8" format="47">
      <pivotArea type="data" outline="0" fieldPosition="0">
        <references count="2">
          <reference field="4294967294" count="1" selected="0">
            <x v="0"/>
          </reference>
          <reference field="9" count="1" selected="0">
            <x v="6"/>
          </reference>
        </references>
      </pivotArea>
    </chartFormat>
    <chartFormat chart="8" format="48">
      <pivotArea type="data" outline="0" fieldPosition="0">
        <references count="2">
          <reference field="4294967294" count="1" selected="0">
            <x v="0"/>
          </reference>
          <reference field="9" count="1" selected="0">
            <x v="7"/>
          </reference>
        </references>
      </pivotArea>
    </chartFormat>
    <chartFormat chart="8" format="49">
      <pivotArea type="data" outline="0" fieldPosition="0">
        <references count="2">
          <reference field="4294967294" count="1" selected="0">
            <x v="0"/>
          </reference>
          <reference field="9" count="1" selected="0">
            <x v="3"/>
          </reference>
        </references>
      </pivotArea>
    </chartFormat>
    <chartFormat chart="8" format="50">
      <pivotArea type="data" outline="0" fieldPosition="0">
        <references count="2">
          <reference field="4294967294" count="1" selected="0">
            <x v="0"/>
          </reference>
          <reference field="9" count="1" selected="0">
            <x v="4"/>
          </reference>
        </references>
      </pivotArea>
    </chartFormat>
    <chartFormat chart="8" format="51">
      <pivotArea type="data" outline="0" fieldPosition="0">
        <references count="2">
          <reference field="4294967294" count="1" selected="0">
            <x v="0"/>
          </reference>
          <reference field="9" count="1" selected="0">
            <x v="2"/>
          </reference>
        </references>
      </pivotArea>
    </chartFormat>
    <chartFormat chart="8" format="52">
      <pivotArea type="data" outline="0" fieldPosition="0">
        <references count="2">
          <reference field="4294967294" count="1" selected="0">
            <x v="0"/>
          </reference>
          <reference field="9" count="1" selected="0">
            <x v="0"/>
          </reference>
        </references>
      </pivotArea>
    </chartFormat>
    <chartFormat chart="8" format="53">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565CDC-FEEA-44CF-89C3-DBA1BBA494E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8" firstHeaderRow="1" firstDataRow="1" firstDataCol="1"/>
  <pivotFields count="2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6">
        <item x="11"/>
        <item x="5"/>
        <item x="1"/>
        <item x="6"/>
        <item x="9"/>
        <item x="3"/>
        <item x="12"/>
        <item x="8"/>
        <item x="10"/>
        <item x="2"/>
        <item x="13"/>
        <item x="14"/>
        <item x="0"/>
        <item x="7"/>
        <item x="4"/>
        <item t="default"/>
      </items>
    </pivotField>
    <pivotField showAll="0">
      <items count="16">
        <item x="11"/>
        <item x="0"/>
        <item x="7"/>
        <item x="5"/>
        <item x="4"/>
        <item x="1"/>
        <item x="6"/>
        <item x="9"/>
        <item x="3"/>
        <item x="12"/>
        <item x="8"/>
        <item x="10"/>
        <item x="2"/>
        <item x="13"/>
        <item x="14"/>
        <item t="default"/>
      </items>
    </pivotField>
    <pivotField showAll="0">
      <items count="16">
        <item x="8"/>
        <item x="10"/>
        <item x="2"/>
        <item x="11"/>
        <item x="5"/>
        <item x="1"/>
        <item x="6"/>
        <item x="9"/>
        <item x="3"/>
        <item x="12"/>
        <item x="13"/>
        <item x="14"/>
        <item x="0"/>
        <item x="7"/>
        <item x="4"/>
        <item t="default"/>
      </items>
    </pivotField>
    <pivotField showAll="0"/>
    <pivotField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10"/>
  </rowFields>
  <rowItems count="5">
    <i>
      <x v="1"/>
    </i>
    <i>
      <x/>
    </i>
    <i>
      <x v="2"/>
    </i>
    <i>
      <x v="3"/>
    </i>
    <i t="grand">
      <x/>
    </i>
  </rowItems>
  <colItems count="1">
    <i/>
  </colItems>
  <dataFields count="1">
    <dataField name="Sum of Revenue" fld="24"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10" count="1" selected="0">
            <x v="1"/>
          </reference>
        </references>
      </pivotArea>
    </chartFormat>
    <chartFormat chart="8" format="27">
      <pivotArea type="data" outline="0" fieldPosition="0">
        <references count="2">
          <reference field="4294967294" count="1" selected="0">
            <x v="0"/>
          </reference>
          <reference field="10" count="1" selected="0">
            <x v="0"/>
          </reference>
        </references>
      </pivotArea>
    </chartFormat>
    <chartFormat chart="8" format="28">
      <pivotArea type="data" outline="0" fieldPosition="0">
        <references count="2">
          <reference field="4294967294" count="1" selected="0">
            <x v="0"/>
          </reference>
          <reference field="10" count="1" selected="0">
            <x v="2"/>
          </reference>
        </references>
      </pivotArea>
    </chartFormat>
    <chartFormat chart="8" format="29">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C10753-B6EC-40E1-B2BC-7B3AEF5DF21F}"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A3:B9" firstHeaderRow="1" firstDataRow="1" firstDataCol="1"/>
  <pivotFields count="2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4"/>
        <item x="11"/>
        <item x="5"/>
        <item x="9"/>
        <item x="13"/>
        <item x="6"/>
        <item x="14"/>
        <item x="12"/>
        <item x="1"/>
        <item x="10"/>
        <item x="7"/>
        <item x="8"/>
        <item x="3"/>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21"/>
  </rowFields>
  <rowItems count="6">
    <i>
      <x v="13"/>
    </i>
    <i>
      <x v="2"/>
    </i>
    <i>
      <x v="5"/>
    </i>
    <i>
      <x v="9"/>
    </i>
    <i>
      <x v="8"/>
    </i>
    <i t="grand">
      <x/>
    </i>
  </rowItems>
  <colItems count="1">
    <i/>
  </colItems>
  <dataFields count="1">
    <dataField name="Sum of Revenue" fld="24" baseField="0" baseItem="0" numFmtId="166"/>
  </dataFields>
  <formats count="1">
    <format dxfId="13">
      <pivotArea outline="0" collapsedLevelsAreSubtotals="1" fieldPosition="0"/>
    </format>
  </formats>
  <chartFormats count="19">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13"/>
          </reference>
        </references>
      </pivotArea>
    </chartFormat>
    <chartFormat chart="0" format="2">
      <pivotArea type="data" outline="0" fieldPosition="0">
        <references count="2">
          <reference field="4294967294" count="1" selected="0">
            <x v="0"/>
          </reference>
          <reference field="21" count="1" selected="0">
            <x v="2"/>
          </reference>
        </references>
      </pivotArea>
    </chartFormat>
    <chartFormat chart="0" format="3">
      <pivotArea type="data" outline="0" fieldPosition="0">
        <references count="2">
          <reference field="4294967294" count="1" selected="0">
            <x v="0"/>
          </reference>
          <reference field="21" count="1" selected="0">
            <x v="5"/>
          </reference>
        </references>
      </pivotArea>
    </chartFormat>
    <chartFormat chart="0" format="4">
      <pivotArea type="data" outline="0" fieldPosition="0">
        <references count="2">
          <reference field="4294967294" count="1" selected="0">
            <x v="0"/>
          </reference>
          <reference field="21" count="1" selected="0">
            <x v="9"/>
          </reference>
        </references>
      </pivotArea>
    </chartFormat>
    <chartFormat chart="0" format="5">
      <pivotArea type="data" outline="0" fieldPosition="0">
        <references count="2">
          <reference field="4294967294" count="1" selected="0">
            <x v="0"/>
          </reference>
          <reference field="21" count="1" selected="0">
            <x v="8"/>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21" count="1" selected="0">
            <x v="13"/>
          </reference>
        </references>
      </pivotArea>
    </chartFormat>
    <chartFormat chart="25" format="14">
      <pivotArea type="data" outline="0" fieldPosition="0">
        <references count="2">
          <reference field="4294967294" count="1" selected="0">
            <x v="0"/>
          </reference>
          <reference field="21" count="1" selected="0">
            <x v="2"/>
          </reference>
        </references>
      </pivotArea>
    </chartFormat>
    <chartFormat chart="25" format="15">
      <pivotArea type="data" outline="0" fieldPosition="0">
        <references count="2">
          <reference field="4294967294" count="1" selected="0">
            <x v="0"/>
          </reference>
          <reference field="21" count="1" selected="0">
            <x v="5"/>
          </reference>
        </references>
      </pivotArea>
    </chartFormat>
    <chartFormat chart="25" format="16">
      <pivotArea type="data" outline="0" fieldPosition="0">
        <references count="2">
          <reference field="4294967294" count="1" selected="0">
            <x v="0"/>
          </reference>
          <reference field="21" count="1" selected="0">
            <x v="9"/>
          </reference>
        </references>
      </pivotArea>
    </chartFormat>
    <chartFormat chart="25" format="17">
      <pivotArea type="data" outline="0" fieldPosition="0">
        <references count="2">
          <reference field="4294967294" count="1" selected="0">
            <x v="0"/>
          </reference>
          <reference field="21" count="1" selected="0">
            <x v="8"/>
          </reference>
        </references>
      </pivotArea>
    </chartFormat>
    <chartFormat chart="26" format="30" series="1">
      <pivotArea type="data" outline="0" fieldPosition="0">
        <references count="1">
          <reference field="4294967294" count="1" selected="0">
            <x v="0"/>
          </reference>
        </references>
      </pivotArea>
    </chartFormat>
    <chartFormat chart="26" format="31">
      <pivotArea type="data" outline="0" fieldPosition="0">
        <references count="2">
          <reference field="4294967294" count="1" selected="0">
            <x v="0"/>
          </reference>
          <reference field="21" count="1" selected="0">
            <x v="13"/>
          </reference>
        </references>
      </pivotArea>
    </chartFormat>
    <chartFormat chart="26" format="32">
      <pivotArea type="data" outline="0" fieldPosition="0">
        <references count="2">
          <reference field="4294967294" count="1" selected="0">
            <x v="0"/>
          </reference>
          <reference field="21" count="1" selected="0">
            <x v="2"/>
          </reference>
        </references>
      </pivotArea>
    </chartFormat>
    <chartFormat chart="26" format="33">
      <pivotArea type="data" outline="0" fieldPosition="0">
        <references count="2">
          <reference field="4294967294" count="1" selected="0">
            <x v="0"/>
          </reference>
          <reference field="21" count="1" selected="0">
            <x v="5"/>
          </reference>
        </references>
      </pivotArea>
    </chartFormat>
    <chartFormat chart="26" format="34">
      <pivotArea type="data" outline="0" fieldPosition="0">
        <references count="2">
          <reference field="4294967294" count="1" selected="0">
            <x v="0"/>
          </reference>
          <reference field="21" count="1" selected="0">
            <x v="9"/>
          </reference>
        </references>
      </pivotArea>
    </chartFormat>
    <chartFormat chart="26" format="35">
      <pivotArea type="data" outline="0" fieldPosition="0">
        <references count="2">
          <reference field="4294967294" count="1" selected="0">
            <x v="0"/>
          </reference>
          <reference field="21" count="1" selected="0">
            <x v="8"/>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24F78D-EE68-438D-BEF7-122E334271E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2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axis="axisRow" showAll="0" measureFilter="1">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5"/>
  </rowFields>
  <rowItems count="6">
    <i>
      <x v="1"/>
    </i>
    <i>
      <x v="5"/>
    </i>
    <i>
      <x v="6"/>
    </i>
    <i>
      <x v="8"/>
    </i>
    <i>
      <x v="9"/>
    </i>
    <i t="grand">
      <x/>
    </i>
  </rowItems>
  <colItems count="1">
    <i/>
  </colItems>
  <dataFields count="1">
    <dataField name="Sum of Revenue" fld="24" baseField="0" baseItem="0" numFmtId="166"/>
  </dataFields>
  <formats count="3">
    <format dxfId="12">
      <pivotArea outline="0" collapsedLevelsAreSubtotals="1" fieldPosition="0"/>
    </format>
    <format dxfId="11">
      <pivotArea dataOnly="0" labelOnly="1" fieldPosition="0">
        <references count="1">
          <reference field="5" count="5">
            <x v="1"/>
            <x v="5"/>
            <x v="6"/>
            <x v="8"/>
            <x v="9"/>
          </reference>
        </references>
      </pivotArea>
    </format>
    <format dxfId="10">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9"/>
          </reference>
        </references>
      </pivotArea>
    </chartFormat>
    <chartFormat chart="0" format="2">
      <pivotArea type="data" outline="0" fieldPosition="0">
        <references count="2">
          <reference field="4294967294" count="1" selected="0">
            <x v="0"/>
          </reference>
          <reference field="5" count="1" selected="0">
            <x v="8"/>
          </reference>
        </references>
      </pivotArea>
    </chartFormat>
    <chartFormat chart="0" format="3">
      <pivotArea type="data" outline="0" fieldPosition="0">
        <references count="2">
          <reference field="4294967294" count="1" selected="0">
            <x v="0"/>
          </reference>
          <reference field="5" count="1" selected="0">
            <x v="6"/>
          </reference>
        </references>
      </pivotArea>
    </chartFormat>
    <chartFormat chart="0" format="4">
      <pivotArea type="data" outline="0" fieldPosition="0">
        <references count="2">
          <reference field="4294967294" count="1" selected="0">
            <x v="0"/>
          </reference>
          <reference field="5" count="1" selected="0">
            <x v="5"/>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B829C7-70EC-40F4-ABCE-CF9F43735E0D}"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6" firstHeaderRow="1" firstDataRow="1" firstDataCol="1"/>
  <pivotFields count="2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numFmtId="166"/>
  </dataFields>
  <formats count="6">
    <format dxfId="9">
      <pivotArea type="all" dataOnly="0" outline="0" fieldPosition="0"/>
    </format>
    <format dxfId="8">
      <pivotArea outline="0" collapsedLevelsAreSubtotals="1" fieldPosition="0"/>
    </format>
    <format dxfId="7">
      <pivotArea field="6" type="button" dataOnly="0" labelOnly="1" outline="0" axis="axisRow" fieldPosition="0"/>
    </format>
    <format dxfId="6">
      <pivotArea dataOnly="0" labelOnly="1" fieldPosition="0">
        <references count="1">
          <reference field="6" count="0"/>
        </references>
      </pivotArea>
    </format>
    <format dxfId="5">
      <pivotArea dataOnly="0" labelOnly="1" grandRow="1" outline="0"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EF9B02-817D-4133-9BB0-C787501D95A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0" firstHeaderRow="1" firstDataRow="1" firstDataCol="1"/>
  <pivotFields count="2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axis="axisRow" showAll="0" measureFilter="1">
      <items count="13">
        <item x="8"/>
        <item x="7"/>
        <item x="3"/>
        <item x="0"/>
        <item x="4"/>
        <item x="6"/>
        <item x="9"/>
        <item x="5"/>
        <item x="1"/>
        <item x="2"/>
        <item x="11"/>
        <item x="10"/>
        <item t="default"/>
      </items>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15"/>
  </rowFields>
  <rowItems count="7">
    <i>
      <x v="1"/>
    </i>
    <i>
      <x v="5"/>
    </i>
    <i>
      <x v="6"/>
    </i>
    <i>
      <x v="7"/>
    </i>
    <i>
      <x v="8"/>
    </i>
    <i>
      <x v="9"/>
    </i>
    <i t="grand">
      <x/>
    </i>
  </rowItems>
  <colItems count="1">
    <i/>
  </colItems>
  <dataFields count="1">
    <dataField name="Sum of Revenue" fld="24" baseField="0" baseItem="0" numFmtId="166"/>
  </dataFields>
  <formats count="3">
    <format dxfId="3">
      <pivotArea outline="0" collapsedLevelsAreSubtotals="1" fieldPosition="0"/>
    </format>
    <format dxfId="2">
      <pivotArea dataOnly="0" labelOnly="1" fieldPosition="0">
        <references count="1">
          <reference field="15" count="6">
            <x v="1"/>
            <x v="5"/>
            <x v="6"/>
            <x v="7"/>
            <x v="8"/>
            <x v="9"/>
          </reference>
        </references>
      </pivotArea>
    </format>
    <format dxfId="1">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F2E7C9-4220-4CDE-AB72-AB0847E95D2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1" firstHeaderRow="1" firstDataRow="1" firstDataCol="1"/>
  <pivotFields count="2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measureFilter="1">
      <items count="13">
        <item x="8"/>
        <item x="7"/>
        <item x="3"/>
        <item x="0"/>
        <item x="4"/>
        <item x="6"/>
        <item x="9"/>
        <item x="5"/>
        <item x="1"/>
        <item x="2"/>
        <item x="11"/>
        <item x="10"/>
        <item t="default"/>
      </items>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axis="axisRow" dataField="1" numFmtId="165" showAll="0">
      <items count="11">
        <item x="0"/>
        <item x="1"/>
        <item x="2"/>
        <item x="3"/>
        <item x="4"/>
        <item x="5"/>
        <item x="6"/>
        <item x="7"/>
        <item x="8"/>
        <item x="9"/>
        <item t="default"/>
      </items>
    </pivotField>
    <pivotField numFmtId="165" showAll="0"/>
    <pivotField showAll="0">
      <items count="15">
        <item x="0"/>
        <item x="1"/>
        <item x="2"/>
        <item x="3"/>
        <item x="4"/>
        <item x="5"/>
        <item x="6"/>
        <item x="7"/>
        <item x="8"/>
        <item x="9"/>
        <item x="10"/>
        <item x="11"/>
        <item x="12"/>
        <item x="13"/>
        <item t="default"/>
      </items>
    </pivotField>
  </pivotFields>
  <rowFields count="1">
    <field x="24"/>
  </rowFields>
  <rowItems count="8">
    <i>
      <x v="1"/>
    </i>
    <i>
      <x v="2"/>
    </i>
    <i>
      <x v="3"/>
    </i>
    <i>
      <x v="4"/>
    </i>
    <i>
      <x v="5"/>
    </i>
    <i>
      <x v="7"/>
    </i>
    <i>
      <x v="8"/>
    </i>
    <i t="grand">
      <x/>
    </i>
  </rowItems>
  <colItems count="1">
    <i/>
  </colItems>
  <dataFields count="1">
    <dataField name="Count of Revenue" fld="24" subtotal="count" baseField="0" baseItem="0" numFmtId="1"/>
  </dataFields>
  <formats count="1">
    <format dxfId="0">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2"/>
          </reference>
        </references>
      </pivotArea>
    </chartFormat>
    <chartFormat chart="0" format="2">
      <pivotArea type="data" outline="0" fieldPosition="0">
        <references count="2">
          <reference field="4294967294" count="1" selected="0">
            <x v="0"/>
          </reference>
          <reference field="24" count="1" selected="0">
            <x v="3"/>
          </reference>
        </references>
      </pivotArea>
    </chartFormat>
    <chartFormat chart="0" format="3">
      <pivotArea type="data" outline="0" fieldPosition="0">
        <references count="2">
          <reference field="4294967294" count="1" selected="0">
            <x v="0"/>
          </reference>
          <reference field="24" count="1" selected="0">
            <x v="4"/>
          </reference>
        </references>
      </pivotArea>
    </chartFormat>
    <chartFormat chart="0" format="4">
      <pivotArea type="data" outline="0" fieldPosition="0">
        <references count="2">
          <reference field="4294967294" count="1" selected="0">
            <x v="0"/>
          </reference>
          <reference field="24" count="1" selected="0">
            <x v="5"/>
          </reference>
        </references>
      </pivotArea>
    </chartFormat>
    <chartFormat chart="0" format="5">
      <pivotArea type="data" outline="0" fieldPosition="0">
        <references count="2">
          <reference field="4294967294" count="1" selected="0">
            <x v="0"/>
          </reference>
          <reference field="24" count="1" selected="0">
            <x v="7"/>
          </reference>
        </references>
      </pivotArea>
    </chartFormat>
    <chartFormat chart="0" format="6">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7444435-6831-4D9F-AAF1-DB7955B1684E}" sourceName="Salesperson">
  <pivotTables>
    <pivotTable tabId="27" name="PivotTable2"/>
    <pivotTable tabId="28" name="PivotTable3"/>
    <pivotTable tabId="26" name="PivotTable1"/>
    <pivotTable tabId="49" name="PivotTable1"/>
    <pivotTable tabId="32" name="PivotTable5"/>
    <pivotTable tabId="46" name="PivotTable1"/>
    <pivotTable tabId="30" name="PivotTable2"/>
    <pivotTable tabId="35" name="PivotTable1"/>
    <pivotTable tabId="29" name="PivotTable1"/>
  </pivotTables>
  <data>
    <tabular pivotCacheId="782798442">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86276E0-2ACA-4A3E-96BE-7D67E9934F39}" sourceName="Product Name">
  <pivotTables>
    <pivotTable tabId="27" name="PivotTable2"/>
    <pivotTable tabId="28" name="PivotTable3"/>
    <pivotTable tabId="26" name="PivotTable1"/>
    <pivotTable tabId="49" name="PivotTable1"/>
    <pivotTable tabId="32" name="PivotTable5"/>
    <pivotTable tabId="46" name="PivotTable1"/>
    <pivotTable tabId="29" name="PivotTable1"/>
    <pivotTable tabId="30" name="PivotTable2"/>
    <pivotTable tabId="35" name="PivotTable1"/>
  </pivotTables>
  <data>
    <tabular pivotCacheId="782798442">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2" xr10:uid="{45C3552F-470B-4B9B-8D6C-51C5462B6CF5}" cache="Slicer_Salesperson" caption="Salesperson" columnCount="4" showCaption="0" style="SlicerStyleDark6 2 4 3" rowHeight="241300"/>
  <slicer name="Product Name 2" xr10:uid="{1B682F2C-B8DF-4F77-8A8E-5CB9F052944E}" cache="Slicer_Product_Name" caption="Product Name" columnCount="4" showCaption="0" style="SlicerStyleDark6 2 5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2"/>
  <sheetViews>
    <sheetView workbookViewId="0">
      <selection activeCell="D20" sqref="D20"/>
    </sheetView>
  </sheetViews>
  <sheetFormatPr defaultRowHeight="14.5" x14ac:dyDescent="0.35"/>
  <cols>
    <col min="1" max="1" width="66.453125" customWidth="1"/>
    <col min="3" max="3" width="9.1796875" customWidth="1"/>
  </cols>
  <sheetData>
    <row r="2" spans="1:1" ht="21" x14ac:dyDescent="0.5">
      <c r="A2" s="5" t="s">
        <v>157</v>
      </c>
    </row>
    <row r="3" spans="1:1" ht="68.25" customHeight="1" x14ac:dyDescent="0.35">
      <c r="A3" s="7" t="s">
        <v>158</v>
      </c>
    </row>
    <row r="4" spans="1:1" ht="21" x14ac:dyDescent="0.5">
      <c r="A4" s="6" t="s">
        <v>152</v>
      </c>
    </row>
    <row r="5" spans="1:1" ht="21" x14ac:dyDescent="0.5">
      <c r="A5" s="6" t="s">
        <v>153</v>
      </c>
    </row>
    <row r="6" spans="1:1" ht="21" x14ac:dyDescent="0.5">
      <c r="A6" s="6" t="s">
        <v>154</v>
      </c>
    </row>
    <row r="7" spans="1:1" ht="21" x14ac:dyDescent="0.5">
      <c r="A7" s="6" t="s">
        <v>155</v>
      </c>
    </row>
    <row r="8" spans="1:1" ht="21" x14ac:dyDescent="0.5">
      <c r="A8" s="6" t="s">
        <v>156</v>
      </c>
    </row>
    <row r="9" spans="1:1" ht="21" x14ac:dyDescent="0.5">
      <c r="A9" s="6" t="s">
        <v>160</v>
      </c>
    </row>
    <row r="10" spans="1:1" ht="21" x14ac:dyDescent="0.5">
      <c r="A10" s="6" t="s">
        <v>161</v>
      </c>
    </row>
    <row r="11" spans="1:1" ht="21" x14ac:dyDescent="0.5">
      <c r="A11" s="6" t="s">
        <v>162</v>
      </c>
    </row>
    <row r="12" spans="1:1" ht="21" x14ac:dyDescent="0.5">
      <c r="A12" s="6" t="s">
        <v>179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zoomScale="125" zoomScaleNormal="100" workbookViewId="0">
      <pane ySplit="1" topLeftCell="A289" activePane="bottomLeft" state="frozen"/>
      <selection activeCell="D20" sqref="D20"/>
      <selection pane="bottomLeft" activeCell="D295" sqref="D295"/>
    </sheetView>
  </sheetViews>
  <sheetFormatPr defaultRowHeight="14.5" x14ac:dyDescent="0.35"/>
  <cols>
    <col min="1" max="1" width="10.54296875" customWidth="1"/>
    <col min="2" max="2" width="10.7265625" bestFit="1" customWidth="1"/>
    <col min="3" max="3" width="14.1796875" bestFit="1" customWidth="1"/>
    <col min="4" max="4" width="15.453125" bestFit="1" customWidth="1"/>
    <col min="5" max="5" width="14.26953125" bestFit="1" customWidth="1"/>
    <col min="6" max="6" width="12.54296875" bestFit="1" customWidth="1"/>
    <col min="7" max="7" width="5.54296875" bestFit="1" customWidth="1"/>
    <col min="8" max="9" width="15.1796875" bestFit="1" customWidth="1"/>
    <col min="10" max="10" width="19.7265625" bestFit="1" customWidth="1"/>
    <col min="11" max="11" width="7.1796875" bestFit="1" customWidth="1"/>
    <col min="12" max="12" width="12.81640625" bestFit="1" customWidth="1"/>
    <col min="13" max="13" width="19.453125" bestFit="1" customWidth="1"/>
    <col min="14" max="14" width="21.54296875" bestFit="1" customWidth="1"/>
    <col min="15" max="15" width="14.26953125" bestFit="1" customWidth="1"/>
    <col min="16" max="16" width="12.54296875" bestFit="1" customWidth="1"/>
    <col min="17" max="17" width="9.81640625" bestFit="1" customWidth="1"/>
    <col min="18" max="19" width="19.54296875" bestFit="1" customWidth="1"/>
    <col min="20" max="20" width="13.7265625" bestFit="1" customWidth="1"/>
    <col min="21" max="21" width="21" bestFit="1" customWidth="1"/>
    <col min="22" max="22" width="25" bestFit="1" customWidth="1"/>
    <col min="23" max="23" width="9.7265625" bestFit="1" customWidth="1"/>
    <col min="24" max="24" width="8.7265625" bestFit="1" customWidth="1"/>
    <col min="25" max="25" width="19.54296875" customWidth="1"/>
    <col min="26" max="26" width="12.453125" bestFit="1"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3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3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3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3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3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3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3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3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3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3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3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3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3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3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3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3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3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3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3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3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3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3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3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3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3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3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3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3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3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3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3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159</v>
      </c>
      <c r="Y34" s="4">
        <v>10</v>
      </c>
      <c r="Z34" s="3">
        <v>43</v>
      </c>
    </row>
    <row r="35" spans="1:26" x14ac:dyDescent="0.3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159</v>
      </c>
      <c r="Y35" s="4">
        <v>10</v>
      </c>
      <c r="Z35" s="3">
        <v>31</v>
      </c>
    </row>
    <row r="36" spans="1:26" x14ac:dyDescent="0.3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159</v>
      </c>
      <c r="Y36" s="4">
        <v>10</v>
      </c>
      <c r="Z36" s="3">
        <v>46</v>
      </c>
    </row>
    <row r="37" spans="1:26" x14ac:dyDescent="0.3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3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3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3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3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3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3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3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3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3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3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3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3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3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3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3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3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3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3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3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3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3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3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3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3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3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3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3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3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3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3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3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3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3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3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3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3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3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3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3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3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3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3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3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3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3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3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3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3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3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3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3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3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3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3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3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3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3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3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3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3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3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3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3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3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3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3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3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3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3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3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3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3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3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3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3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3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3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3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3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3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3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3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3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3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3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3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3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3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3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3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3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3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3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3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3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3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3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3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3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3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3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3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3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3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3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3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3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3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3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3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3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3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3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3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3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3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3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3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3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3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3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3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3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3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3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3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3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3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3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3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3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3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3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3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3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3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3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3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3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3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3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3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3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3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3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3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3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3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3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3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3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3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3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3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3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3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3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3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3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3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3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3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3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3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3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3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3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3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3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3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3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3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3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3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3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3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3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3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3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3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3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3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3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3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3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3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3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3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3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3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3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3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3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3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3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3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3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3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3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3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3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3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3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3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3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3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3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3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3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3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3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3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3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3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3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3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3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3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3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3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3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3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3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3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3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3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3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3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3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3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3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3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3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3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3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3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3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3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3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3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3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3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3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3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3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3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3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3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3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3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3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3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3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3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3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3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3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3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3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3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3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3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3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3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3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3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3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3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3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3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3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3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3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3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3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3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3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3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3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3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3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3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3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3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3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3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3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3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3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3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3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3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3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3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3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3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3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3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3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3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3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3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3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3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3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3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3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3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3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3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3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3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3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3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3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3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3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3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3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3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3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3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3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3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3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3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3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3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3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3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3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3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3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5E2CA-0EA4-471C-AAE4-A4218FD0FC06}">
  <dimension ref="AS49"/>
  <sheetViews>
    <sheetView showGridLines="0" topLeftCell="A16" zoomScale="61" workbookViewId="0">
      <selection activeCell="N76" sqref="N76"/>
    </sheetView>
  </sheetViews>
  <sheetFormatPr defaultRowHeight="14.5" x14ac:dyDescent="0.35"/>
  <sheetData>
    <row r="49" spans="45:45" x14ac:dyDescent="0.35">
      <c r="AS49">
        <v>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BAE2E-28EB-4ABD-8F60-8B41268E3DE6}">
  <dimension ref="A3:B16"/>
  <sheetViews>
    <sheetView workbookViewId="0">
      <selection activeCell="M10" sqref="M10"/>
    </sheetView>
  </sheetViews>
  <sheetFormatPr defaultRowHeight="14.5" x14ac:dyDescent="0.35"/>
  <cols>
    <col min="1" max="1" width="12.36328125" bestFit="1" customWidth="1"/>
    <col min="2" max="2" width="14.36328125" bestFit="1" customWidth="1"/>
  </cols>
  <sheetData>
    <row r="3" spans="1:2" x14ac:dyDescent="0.35">
      <c r="A3" s="8" t="s">
        <v>163</v>
      </c>
      <c r="B3" t="s">
        <v>165</v>
      </c>
    </row>
    <row r="4" spans="1:2" x14ac:dyDescent="0.35">
      <c r="A4" s="9" t="s">
        <v>177</v>
      </c>
      <c r="B4" s="10">
        <v>32907.839999999997</v>
      </c>
    </row>
    <row r="5" spans="1:2" x14ac:dyDescent="0.35">
      <c r="A5" s="9" t="s">
        <v>176</v>
      </c>
      <c r="B5" s="10">
        <v>19985.5</v>
      </c>
    </row>
    <row r="6" spans="1:2" x14ac:dyDescent="0.35">
      <c r="A6" s="9" t="s">
        <v>175</v>
      </c>
      <c r="B6" s="10">
        <v>30852.6</v>
      </c>
    </row>
    <row r="7" spans="1:2" x14ac:dyDescent="0.35">
      <c r="A7" s="9" t="s">
        <v>174</v>
      </c>
      <c r="B7" s="10">
        <v>20771.789999999997</v>
      </c>
    </row>
    <row r="8" spans="1:2" x14ac:dyDescent="0.35">
      <c r="A8" s="9" t="s">
        <v>173</v>
      </c>
      <c r="B8" s="10">
        <v>34307.049999999996</v>
      </c>
    </row>
    <row r="9" spans="1:2" x14ac:dyDescent="0.35">
      <c r="A9" s="9" t="s">
        <v>172</v>
      </c>
      <c r="B9" s="10">
        <v>55601.61</v>
      </c>
    </row>
    <row r="10" spans="1:2" x14ac:dyDescent="0.35">
      <c r="A10" s="9" t="s">
        <v>171</v>
      </c>
      <c r="B10" s="10">
        <v>27318.539999999997</v>
      </c>
    </row>
    <row r="11" spans="1:2" x14ac:dyDescent="0.35">
      <c r="A11" s="9" t="s">
        <v>170</v>
      </c>
      <c r="B11" s="10">
        <v>29921.459999999995</v>
      </c>
    </row>
    <row r="12" spans="1:2" x14ac:dyDescent="0.35">
      <c r="A12" s="9" t="s">
        <v>169</v>
      </c>
      <c r="B12" s="10">
        <v>31949.97</v>
      </c>
    </row>
    <row r="13" spans="1:2" x14ac:dyDescent="0.35">
      <c r="A13" s="9" t="s">
        <v>168</v>
      </c>
      <c r="B13" s="10">
        <v>53033.59</v>
      </c>
    </row>
    <row r="14" spans="1:2" x14ac:dyDescent="0.35">
      <c r="A14" s="9" t="s">
        <v>167</v>
      </c>
      <c r="B14" s="10">
        <v>31773.429999999997</v>
      </c>
    </row>
    <row r="15" spans="1:2" x14ac:dyDescent="0.35">
      <c r="A15" s="9" t="s">
        <v>166</v>
      </c>
      <c r="B15" s="10">
        <v>66642.78</v>
      </c>
    </row>
    <row r="16" spans="1:2" x14ac:dyDescent="0.35">
      <c r="A16" s="9" t="s">
        <v>164</v>
      </c>
      <c r="B16" s="10">
        <v>435066.15999999992</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92616-DEEE-4D36-B819-E645991F32C2}">
  <dimension ref="A3:B14"/>
  <sheetViews>
    <sheetView workbookViewId="0">
      <selection activeCell="K13" sqref="K13"/>
    </sheetView>
  </sheetViews>
  <sheetFormatPr defaultRowHeight="14.5" x14ac:dyDescent="0.35"/>
  <cols>
    <col min="1" max="1" width="12.36328125" bestFit="1" customWidth="1"/>
    <col min="2" max="2" width="14.36328125" bestFit="1" customWidth="1"/>
  </cols>
  <sheetData>
    <row r="3" spans="1:2" x14ac:dyDescent="0.35">
      <c r="A3" s="8" t="s">
        <v>163</v>
      </c>
      <c r="B3" t="s">
        <v>165</v>
      </c>
    </row>
    <row r="4" spans="1:2" x14ac:dyDescent="0.35">
      <c r="A4" s="9" t="s">
        <v>40</v>
      </c>
      <c r="B4" s="10">
        <v>67180.5</v>
      </c>
    </row>
    <row r="5" spans="1:2" x14ac:dyDescent="0.35">
      <c r="A5" s="9" t="s">
        <v>56</v>
      </c>
      <c r="B5" s="10">
        <v>50208.35</v>
      </c>
    </row>
    <row r="6" spans="1:2" x14ac:dyDescent="0.35">
      <c r="A6" s="9" t="s">
        <v>90</v>
      </c>
      <c r="B6" s="10">
        <v>43713</v>
      </c>
    </row>
    <row r="7" spans="1:2" x14ac:dyDescent="0.35">
      <c r="A7" s="9" t="s">
        <v>82</v>
      </c>
      <c r="B7" s="10">
        <v>37428</v>
      </c>
    </row>
    <row r="8" spans="1:2" x14ac:dyDescent="0.35">
      <c r="A8" s="9" t="s">
        <v>118</v>
      </c>
      <c r="B8" s="10">
        <v>36839.990000000005</v>
      </c>
    </row>
    <row r="9" spans="1:2" x14ac:dyDescent="0.35">
      <c r="A9" s="9" t="s">
        <v>125</v>
      </c>
      <c r="B9" s="10">
        <v>32530.6</v>
      </c>
    </row>
    <row r="10" spans="1:2" x14ac:dyDescent="0.35">
      <c r="A10" s="9" t="s">
        <v>97</v>
      </c>
      <c r="B10" s="10">
        <v>29133.009999999995</v>
      </c>
    </row>
    <row r="11" spans="1:2" x14ac:dyDescent="0.35">
      <c r="A11" s="9" t="s">
        <v>140</v>
      </c>
      <c r="B11" s="10">
        <v>28208.250000000007</v>
      </c>
    </row>
    <row r="12" spans="1:2" x14ac:dyDescent="0.35">
      <c r="A12" s="9" t="s">
        <v>74</v>
      </c>
      <c r="B12" s="10">
        <v>27005.38</v>
      </c>
    </row>
    <row r="13" spans="1:2" x14ac:dyDescent="0.35">
      <c r="A13" s="9" t="s">
        <v>113</v>
      </c>
      <c r="B13" s="10">
        <v>21937.08</v>
      </c>
    </row>
    <row r="14" spans="1:2" x14ac:dyDescent="0.35">
      <c r="A14" s="9" t="s">
        <v>164</v>
      </c>
      <c r="B14" s="10">
        <v>374184.16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EB635-A2D4-4950-8DED-4BB1E0422234}">
  <dimension ref="A3:B12"/>
  <sheetViews>
    <sheetView workbookViewId="0">
      <selection activeCell="A11" sqref="A11"/>
    </sheetView>
  </sheetViews>
  <sheetFormatPr defaultRowHeight="14.5" x14ac:dyDescent="0.35"/>
  <cols>
    <col min="1" max="1" width="15.26953125" bestFit="1" customWidth="1"/>
    <col min="2" max="2" width="14.36328125" bestFit="1" customWidth="1"/>
  </cols>
  <sheetData>
    <row r="3" spans="1:2" x14ac:dyDescent="0.35">
      <c r="A3" s="8" t="s">
        <v>163</v>
      </c>
      <c r="B3" t="s">
        <v>165</v>
      </c>
    </row>
    <row r="4" spans="1:2" x14ac:dyDescent="0.35">
      <c r="A4" s="9" t="s">
        <v>60</v>
      </c>
      <c r="B4" s="10">
        <v>104252.33999999997</v>
      </c>
    </row>
    <row r="5" spans="1:2" x14ac:dyDescent="0.35">
      <c r="A5" s="9" t="s">
        <v>94</v>
      </c>
      <c r="B5" s="10">
        <v>93858.329999999987</v>
      </c>
    </row>
    <row r="6" spans="1:2" x14ac:dyDescent="0.35">
      <c r="A6" s="9" t="s">
        <v>44</v>
      </c>
      <c r="B6" s="10">
        <v>67180.5</v>
      </c>
    </row>
    <row r="7" spans="1:2" x14ac:dyDescent="0.35">
      <c r="A7" s="9" t="s">
        <v>31</v>
      </c>
      <c r="B7" s="10">
        <v>42370.880000000005</v>
      </c>
    </row>
    <row r="8" spans="1:2" x14ac:dyDescent="0.35">
      <c r="A8" s="9" t="s">
        <v>101</v>
      </c>
      <c r="B8" s="10">
        <v>41095.01</v>
      </c>
    </row>
    <row r="9" spans="1:2" x14ac:dyDescent="0.35">
      <c r="A9" s="9" t="s">
        <v>86</v>
      </c>
      <c r="B9" s="10">
        <v>37428</v>
      </c>
    </row>
    <row r="10" spans="1:2" x14ac:dyDescent="0.35">
      <c r="A10" s="9" t="s">
        <v>129</v>
      </c>
      <c r="B10" s="10">
        <v>32530.6</v>
      </c>
    </row>
    <row r="11" spans="1:2" x14ac:dyDescent="0.35">
      <c r="A11" s="9" t="s">
        <v>70</v>
      </c>
      <c r="B11" s="10">
        <v>16350.5</v>
      </c>
    </row>
    <row r="12" spans="1:2" x14ac:dyDescent="0.35">
      <c r="A12" s="9" t="s">
        <v>164</v>
      </c>
      <c r="B12" s="10">
        <v>435066.15999999992</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3598A-D478-4E1E-8487-BE2FB552F75C}">
  <dimension ref="A3:B8"/>
  <sheetViews>
    <sheetView workbookViewId="0">
      <selection activeCell="B7" sqref="B7"/>
    </sheetView>
  </sheetViews>
  <sheetFormatPr defaultRowHeight="14.5" x14ac:dyDescent="0.35"/>
  <cols>
    <col min="1" max="1" width="12.36328125" bestFit="1" customWidth="1"/>
    <col min="2" max="2" width="14.36328125" bestFit="1" customWidth="1"/>
  </cols>
  <sheetData>
    <row r="3" spans="1:2" x14ac:dyDescent="0.35">
      <c r="A3" s="8" t="s">
        <v>163</v>
      </c>
      <c r="B3" t="s">
        <v>165</v>
      </c>
    </row>
    <row r="4" spans="1:2" x14ac:dyDescent="0.35">
      <c r="A4" s="9" t="s">
        <v>61</v>
      </c>
      <c r="B4" s="11">
        <v>0.32565240192434181</v>
      </c>
    </row>
    <row r="5" spans="1:2" x14ac:dyDescent="0.35">
      <c r="A5" s="9" t="s">
        <v>45</v>
      </c>
      <c r="B5" s="11">
        <v>0.24887136705828836</v>
      </c>
    </row>
    <row r="6" spans="1:2" x14ac:dyDescent="0.35">
      <c r="A6" s="9" t="s">
        <v>95</v>
      </c>
      <c r="B6" s="11">
        <v>0.21573346453789927</v>
      </c>
    </row>
    <row r="7" spans="1:2" x14ac:dyDescent="0.35">
      <c r="A7" s="9" t="s">
        <v>32</v>
      </c>
      <c r="B7" s="11">
        <v>0.20974276647947063</v>
      </c>
    </row>
    <row r="8" spans="1:2" x14ac:dyDescent="0.35">
      <c r="A8" s="9" t="s">
        <v>164</v>
      </c>
      <c r="B8" s="11">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22943-6E7D-4353-B662-1503F9AC6740}">
  <dimension ref="A3:B20"/>
  <sheetViews>
    <sheetView workbookViewId="0">
      <selection activeCell="M8" sqref="M8"/>
    </sheetView>
  </sheetViews>
  <sheetFormatPr defaultRowHeight="14.5" x14ac:dyDescent="0.35"/>
  <cols>
    <col min="1" max="1" width="15.81640625" bestFit="1" customWidth="1"/>
    <col min="2" max="2" width="14.36328125" bestFit="1" customWidth="1"/>
  </cols>
  <sheetData>
    <row r="3" spans="1:2" x14ac:dyDescent="0.35">
      <c r="A3" s="8" t="s">
        <v>163</v>
      </c>
      <c r="B3" t="s">
        <v>165</v>
      </c>
    </row>
    <row r="4" spans="1:2" x14ac:dyDescent="0.35">
      <c r="A4" s="9" t="s">
        <v>37</v>
      </c>
      <c r="B4" s="10">
        <v>110577.10999999999</v>
      </c>
    </row>
    <row r="5" spans="1:2" x14ac:dyDescent="0.35">
      <c r="A5" s="9" t="s">
        <v>89</v>
      </c>
      <c r="B5" s="10">
        <v>69000</v>
      </c>
    </row>
    <row r="6" spans="1:2" x14ac:dyDescent="0.35">
      <c r="A6" s="9" t="s">
        <v>110</v>
      </c>
      <c r="B6" s="10">
        <v>51541</v>
      </c>
    </row>
    <row r="7" spans="1:2" x14ac:dyDescent="0.35">
      <c r="A7" s="9" t="s">
        <v>134</v>
      </c>
      <c r="B7" s="10">
        <v>33129.600000000006</v>
      </c>
    </row>
    <row r="8" spans="1:2" x14ac:dyDescent="0.35">
      <c r="A8" s="9" t="s">
        <v>39</v>
      </c>
      <c r="B8" s="10">
        <v>27999.5</v>
      </c>
    </row>
    <row r="9" spans="1:2" x14ac:dyDescent="0.35">
      <c r="A9" s="9" t="s">
        <v>164</v>
      </c>
      <c r="B9" s="10">
        <v>292247.20999999996</v>
      </c>
    </row>
    <row r="20" spans="2:2" x14ac:dyDescent="0.35">
      <c r="B20" s="10"/>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200A-EC46-4E93-AE7B-07AB4F592086}">
  <dimension ref="A3:B9"/>
  <sheetViews>
    <sheetView workbookViewId="0">
      <selection activeCell="A8" sqref="A8"/>
    </sheetView>
  </sheetViews>
  <sheetFormatPr defaultRowHeight="14.5" x14ac:dyDescent="0.35"/>
  <cols>
    <col min="1" max="1" width="12.36328125" bestFit="1" customWidth="1"/>
    <col min="2" max="2" width="14.36328125" bestFit="1" customWidth="1"/>
  </cols>
  <sheetData>
    <row r="3" spans="1:2" x14ac:dyDescent="0.35">
      <c r="A3" s="8" t="s">
        <v>163</v>
      </c>
      <c r="B3" t="s">
        <v>165</v>
      </c>
    </row>
    <row r="4" spans="1:2" x14ac:dyDescent="0.35">
      <c r="A4" s="13" t="s">
        <v>99</v>
      </c>
      <c r="B4" s="10">
        <v>41095.01</v>
      </c>
    </row>
    <row r="5" spans="1:2" x14ac:dyDescent="0.35">
      <c r="A5" s="13" t="s">
        <v>92</v>
      </c>
      <c r="B5" s="10">
        <v>43713</v>
      </c>
    </row>
    <row r="6" spans="1:2" x14ac:dyDescent="0.35">
      <c r="A6" s="13" t="s">
        <v>115</v>
      </c>
      <c r="B6" s="10">
        <v>50145.330000000009</v>
      </c>
    </row>
    <row r="7" spans="1:2" x14ac:dyDescent="0.35">
      <c r="A7" s="13" t="s">
        <v>42</v>
      </c>
      <c r="B7" s="10">
        <v>67180.5</v>
      </c>
    </row>
    <row r="8" spans="1:2" x14ac:dyDescent="0.35">
      <c r="A8" s="13" t="s">
        <v>58</v>
      </c>
      <c r="B8" s="10">
        <v>50208.35</v>
      </c>
    </row>
    <row r="9" spans="1:2" x14ac:dyDescent="0.35">
      <c r="A9" s="13" t="s">
        <v>164</v>
      </c>
      <c r="B9" s="10">
        <v>252342.19000000003</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83EBB-2267-4087-91D1-14C1022AFDD3}">
  <dimension ref="A3:E16"/>
  <sheetViews>
    <sheetView zoomScaleNormal="100" workbookViewId="0">
      <selection activeCell="O4" sqref="O4"/>
    </sheetView>
  </sheetViews>
  <sheetFormatPr defaultRowHeight="14.5" x14ac:dyDescent="0.35"/>
  <cols>
    <col min="1" max="1" width="12.36328125" bestFit="1" customWidth="1"/>
    <col min="2" max="2" width="14.36328125" bestFit="1" customWidth="1"/>
    <col min="4" max="4" width="11" customWidth="1"/>
    <col min="5" max="5" width="15.81640625" customWidth="1"/>
  </cols>
  <sheetData>
    <row r="3" spans="1:5" x14ac:dyDescent="0.35">
      <c r="A3" s="14" t="s">
        <v>163</v>
      </c>
      <c r="B3" s="10" t="s">
        <v>165</v>
      </c>
    </row>
    <row r="4" spans="1:5" x14ac:dyDescent="0.35">
      <c r="A4" s="13" t="s">
        <v>43</v>
      </c>
      <c r="B4" s="10">
        <v>67180.5</v>
      </c>
      <c r="D4" s="15" t="s">
        <v>6</v>
      </c>
      <c r="E4" s="15" t="s">
        <v>165</v>
      </c>
    </row>
    <row r="5" spans="1:5" x14ac:dyDescent="0.35">
      <c r="A5" s="13" t="s">
        <v>59</v>
      </c>
      <c r="B5" s="10">
        <v>50208.35</v>
      </c>
      <c r="D5" s="13" t="s">
        <v>77</v>
      </c>
      <c r="E5" s="10">
        <v>27005.38</v>
      </c>
    </row>
    <row r="6" spans="1:5" x14ac:dyDescent="0.35">
      <c r="A6" s="13" t="s">
        <v>116</v>
      </c>
      <c r="B6" s="10">
        <v>50145.330000000009</v>
      </c>
      <c r="D6" s="13" t="s">
        <v>69</v>
      </c>
      <c r="E6" s="10">
        <v>16350.5</v>
      </c>
    </row>
    <row r="7" spans="1:5" x14ac:dyDescent="0.35">
      <c r="A7" s="13" t="s">
        <v>93</v>
      </c>
      <c r="B7" s="10">
        <v>43713</v>
      </c>
      <c r="D7" s="13" t="s">
        <v>116</v>
      </c>
      <c r="E7" s="10">
        <v>50145.330000000009</v>
      </c>
    </row>
    <row r="8" spans="1:5" x14ac:dyDescent="0.35">
      <c r="A8" s="13" t="s">
        <v>100</v>
      </c>
      <c r="B8" s="10">
        <v>41095.01</v>
      </c>
      <c r="D8" s="13" t="s">
        <v>107</v>
      </c>
      <c r="E8" s="10">
        <v>17204</v>
      </c>
    </row>
    <row r="9" spans="1:5" x14ac:dyDescent="0.35">
      <c r="A9" s="13" t="s">
        <v>85</v>
      </c>
      <c r="B9" s="10">
        <v>37428</v>
      </c>
      <c r="D9" s="13" t="s">
        <v>100</v>
      </c>
      <c r="E9" s="10">
        <v>41095.01</v>
      </c>
    </row>
    <row r="10" spans="1:5" x14ac:dyDescent="0.35">
      <c r="A10" s="13" t="s">
        <v>121</v>
      </c>
      <c r="B10" s="10">
        <v>36839.990000000005</v>
      </c>
      <c r="D10" s="13" t="s">
        <v>29</v>
      </c>
      <c r="E10" s="10">
        <v>15365.5</v>
      </c>
    </row>
    <row r="11" spans="1:5" x14ac:dyDescent="0.35">
      <c r="A11" s="13" t="s">
        <v>128</v>
      </c>
      <c r="B11" s="10">
        <v>32530.6</v>
      </c>
      <c r="D11" s="13" t="s">
        <v>43</v>
      </c>
      <c r="E11" s="10">
        <v>67180.5</v>
      </c>
    </row>
    <row r="12" spans="1:5" x14ac:dyDescent="0.35">
      <c r="A12" s="13" t="s">
        <v>77</v>
      </c>
      <c r="B12" s="10">
        <v>27005.38</v>
      </c>
      <c r="D12" s="13" t="s">
        <v>59</v>
      </c>
      <c r="E12" s="10">
        <v>50208.35</v>
      </c>
    </row>
    <row r="13" spans="1:5" x14ac:dyDescent="0.35">
      <c r="A13" s="13" t="s">
        <v>107</v>
      </c>
      <c r="B13" s="10">
        <v>17204</v>
      </c>
      <c r="D13" s="13" t="s">
        <v>93</v>
      </c>
      <c r="E13" s="10">
        <v>43713</v>
      </c>
    </row>
    <row r="14" spans="1:5" x14ac:dyDescent="0.35">
      <c r="A14" s="13" t="s">
        <v>69</v>
      </c>
      <c r="B14" s="10">
        <v>16350.5</v>
      </c>
      <c r="D14" s="13" t="s">
        <v>128</v>
      </c>
      <c r="E14" s="10">
        <v>32530.6</v>
      </c>
    </row>
    <row r="15" spans="1:5" x14ac:dyDescent="0.35">
      <c r="A15" s="13" t="s">
        <v>29</v>
      </c>
      <c r="B15" s="10">
        <v>15365.5</v>
      </c>
      <c r="D15" s="13" t="s">
        <v>121</v>
      </c>
      <c r="E15" s="10">
        <v>36839.990000000005</v>
      </c>
    </row>
    <row r="16" spans="1:5" x14ac:dyDescent="0.35">
      <c r="A16" s="13" t="s">
        <v>164</v>
      </c>
      <c r="B16" s="10">
        <v>435066.16</v>
      </c>
      <c r="D16" s="13" t="s">
        <v>85</v>
      </c>
      <c r="E16" s="10">
        <v>37428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79D2C-3F6F-4035-ABE0-4BD561F93993}">
  <dimension ref="A3:E10"/>
  <sheetViews>
    <sheetView workbookViewId="0">
      <selection activeCell="P10" sqref="P10"/>
    </sheetView>
  </sheetViews>
  <sheetFormatPr defaultRowHeight="14.5" x14ac:dyDescent="0.35"/>
  <cols>
    <col min="1" max="1" width="12.36328125" bestFit="1" customWidth="1"/>
    <col min="2" max="2" width="14.36328125" bestFit="1" customWidth="1"/>
    <col min="4" max="4" width="11" customWidth="1"/>
    <col min="5" max="5" width="16.6328125" customWidth="1"/>
  </cols>
  <sheetData>
    <row r="3" spans="1:5" x14ac:dyDescent="0.35">
      <c r="A3" s="8" t="s">
        <v>163</v>
      </c>
      <c r="B3" t="s">
        <v>165</v>
      </c>
      <c r="D3" s="12" t="s">
        <v>178</v>
      </c>
      <c r="E3" s="12" t="s">
        <v>165</v>
      </c>
    </row>
    <row r="4" spans="1:5" x14ac:dyDescent="0.35">
      <c r="A4" s="13" t="s">
        <v>99</v>
      </c>
      <c r="B4" s="10">
        <v>41095.01</v>
      </c>
      <c r="D4" s="13" t="s">
        <v>99</v>
      </c>
      <c r="E4" s="10">
        <v>41095.01</v>
      </c>
    </row>
    <row r="5" spans="1:5" x14ac:dyDescent="0.35">
      <c r="A5" s="13" t="s">
        <v>92</v>
      </c>
      <c r="B5" s="10">
        <v>43713</v>
      </c>
      <c r="D5" s="13" t="s">
        <v>92</v>
      </c>
      <c r="E5" s="10">
        <v>43713</v>
      </c>
    </row>
    <row r="6" spans="1:5" x14ac:dyDescent="0.35">
      <c r="A6" s="13" t="s">
        <v>115</v>
      </c>
      <c r="B6" s="10">
        <v>50145.330000000009</v>
      </c>
      <c r="D6" s="13" t="s">
        <v>115</v>
      </c>
      <c r="E6" s="10">
        <v>50145.330000000009</v>
      </c>
    </row>
    <row r="7" spans="1:5" x14ac:dyDescent="0.35">
      <c r="A7" s="13" t="s">
        <v>84</v>
      </c>
      <c r="B7" s="10">
        <v>37428</v>
      </c>
      <c r="D7" s="13" t="s">
        <v>84</v>
      </c>
      <c r="E7" s="10">
        <v>37428</v>
      </c>
    </row>
    <row r="8" spans="1:5" x14ac:dyDescent="0.35">
      <c r="A8" s="13" t="s">
        <v>42</v>
      </c>
      <c r="B8" s="10">
        <v>67180.5</v>
      </c>
      <c r="D8" s="13" t="s">
        <v>42</v>
      </c>
      <c r="E8" s="10">
        <v>67180.5</v>
      </c>
    </row>
    <row r="9" spans="1:5" x14ac:dyDescent="0.35">
      <c r="A9" s="13" t="s">
        <v>58</v>
      </c>
      <c r="B9" s="10">
        <v>50208.35</v>
      </c>
      <c r="D9" s="13" t="s">
        <v>58</v>
      </c>
      <c r="E9" s="10">
        <v>50208.35</v>
      </c>
    </row>
    <row r="10" spans="1:5" x14ac:dyDescent="0.35">
      <c r="A10" s="13" t="s">
        <v>164</v>
      </c>
      <c r="B10" s="10">
        <v>289770.19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DC80F-3010-4930-8E09-47D8B587752D}">
  <dimension ref="A3:E11"/>
  <sheetViews>
    <sheetView workbookViewId="0">
      <selection activeCell="B10" sqref="B10"/>
    </sheetView>
  </sheetViews>
  <sheetFormatPr defaultRowHeight="14.5" x14ac:dyDescent="0.35"/>
  <cols>
    <col min="1" max="1" width="12.36328125" bestFit="1" customWidth="1"/>
    <col min="2" max="2" width="15.81640625" bestFit="1" customWidth="1"/>
    <col min="5" max="5" width="16.08984375" customWidth="1"/>
  </cols>
  <sheetData>
    <row r="3" spans="1:5" x14ac:dyDescent="0.35">
      <c r="A3" s="8" t="s">
        <v>163</v>
      </c>
      <c r="B3" t="s">
        <v>180</v>
      </c>
      <c r="D3" s="12" t="s">
        <v>178</v>
      </c>
      <c r="E3" s="12" t="s">
        <v>165</v>
      </c>
    </row>
    <row r="4" spans="1:5" x14ac:dyDescent="0.35">
      <c r="A4" s="17" t="s">
        <v>181</v>
      </c>
      <c r="B4" s="16">
        <v>218</v>
      </c>
      <c r="D4" s="9" t="s">
        <v>42</v>
      </c>
      <c r="E4" s="10">
        <v>67180.5</v>
      </c>
    </row>
    <row r="5" spans="1:5" x14ac:dyDescent="0.35">
      <c r="A5" s="17" t="s">
        <v>182</v>
      </c>
      <c r="B5" s="16">
        <v>85</v>
      </c>
      <c r="D5" s="9" t="s">
        <v>58</v>
      </c>
      <c r="E5" s="10">
        <v>50208.35</v>
      </c>
    </row>
    <row r="6" spans="1:5" x14ac:dyDescent="0.35">
      <c r="A6" s="17" t="s">
        <v>183</v>
      </c>
      <c r="B6" s="16">
        <v>31</v>
      </c>
      <c r="D6" s="9" t="s">
        <v>115</v>
      </c>
      <c r="E6" s="10">
        <v>50145.330000000009</v>
      </c>
    </row>
    <row r="7" spans="1:5" x14ac:dyDescent="0.35">
      <c r="A7" s="17" t="s">
        <v>184</v>
      </c>
      <c r="B7" s="16">
        <v>24</v>
      </c>
      <c r="D7" s="9" t="s">
        <v>92</v>
      </c>
      <c r="E7" s="10">
        <v>43713</v>
      </c>
    </row>
    <row r="8" spans="1:5" x14ac:dyDescent="0.35">
      <c r="A8" s="17" t="s">
        <v>185</v>
      </c>
      <c r="B8" s="16">
        <v>8</v>
      </c>
      <c r="D8" s="9" t="s">
        <v>99</v>
      </c>
      <c r="E8" s="10">
        <v>41095.01</v>
      </c>
    </row>
    <row r="9" spans="1:5" x14ac:dyDescent="0.35">
      <c r="A9" s="17" t="s">
        <v>186</v>
      </c>
      <c r="B9" s="16">
        <v>2</v>
      </c>
      <c r="D9" s="9" t="s">
        <v>84</v>
      </c>
      <c r="E9" s="10">
        <v>37428</v>
      </c>
    </row>
    <row r="10" spans="1:5" x14ac:dyDescent="0.35">
      <c r="A10" s="17" t="s">
        <v>187</v>
      </c>
      <c r="B10" s="16">
        <v>1</v>
      </c>
    </row>
    <row r="11" spans="1:5" x14ac:dyDescent="0.35">
      <c r="A11" s="17" t="s">
        <v>164</v>
      </c>
      <c r="B11" s="16">
        <v>369</v>
      </c>
    </row>
  </sheetData>
  <sortState ref="D4:E9">
    <sortCondition descending="1" ref="E7"/>
  </sortState>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F355C-A0CD-4CFC-8365-AB932E8F214A}">
  <dimension ref="A1"/>
  <sheetViews>
    <sheetView showGridLines="0" topLeftCell="A16" workbookViewId="0">
      <selection activeCell="K74" sqref="K74"/>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653A4-2513-4C2A-994A-CF58A298FE9E}">
  <dimension ref="A1"/>
  <sheetViews>
    <sheetView showGridLines="0" topLeftCell="A67" zoomScale="91" workbookViewId="0">
      <selection activeCell="M4" sqref="M4"/>
    </sheetView>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AAC3C-65ED-4C1C-968A-1EF0E70C7303}">
  <dimension ref="A1"/>
  <sheetViews>
    <sheetView showGridLines="0" topLeftCell="A2" zoomScale="82" workbookViewId="0">
      <selection activeCell="I33" sqref="I33"/>
    </sheetView>
  </sheetViews>
  <sheetFormatPr defaultRowHeight="14.5" x14ac:dyDescent="0.3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F7AEE-4B8B-437E-9CBA-E1CE4087BBC1}">
  <dimension ref="AG49"/>
  <sheetViews>
    <sheetView showGridLines="0" zoomScale="60" zoomScaleNormal="70" workbookViewId="0">
      <selection activeCell="AI42" sqref="AI42"/>
    </sheetView>
  </sheetViews>
  <sheetFormatPr defaultRowHeight="14.5" x14ac:dyDescent="0.35"/>
  <sheetData>
    <row r="49" spans="33:33" x14ac:dyDescent="0.35">
      <c r="AG49" t="s">
        <v>188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D403-1355-4998-BBFB-5F5027540F98}">
  <dimension ref="A1"/>
  <sheetViews>
    <sheetView showGridLines="0" tabSelected="1" workbookViewId="0">
      <selection activeCell="V22" sqref="V22"/>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Task</vt:lpstr>
      <vt:lpstr>Data</vt:lpstr>
      <vt:lpstr>Pre-Analysis board</vt:lpstr>
      <vt:lpstr>Sales Trend report</vt:lpstr>
      <vt:lpstr>Top 10 Customer by revenue</vt:lpstr>
      <vt:lpstr>Sales by Rep</vt:lpstr>
      <vt:lpstr>Sales by Region</vt:lpstr>
      <vt:lpstr>Sales by category</vt:lpstr>
      <vt:lpstr>Top 5 cities by revenue</vt:lpstr>
      <vt:lpstr>State Performance</vt:lpstr>
      <vt:lpstr>Top 6 ship cities by revenue</vt:lpstr>
      <vt:lpstr>Transaction by amount</vt:lpstr>
      <vt:lpstr>In Analysis Board</vt:lpstr>
      <vt:lpstr>Post Analysis board</vt:lpstr>
      <vt:lpstr>Dashboard sketch</vt:lpstr>
      <vt:lpstr>Dashboard Interface </vt:lpstr>
      <vt:lpstr>Final Dasboard Screenshot</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PC</cp:lastModifiedBy>
  <dcterms:created xsi:type="dcterms:W3CDTF">2015-01-21T18:43:03Z</dcterms:created>
  <dcterms:modified xsi:type="dcterms:W3CDTF">2026-04-06T22:09:26Z</dcterms:modified>
</cp:coreProperties>
</file>